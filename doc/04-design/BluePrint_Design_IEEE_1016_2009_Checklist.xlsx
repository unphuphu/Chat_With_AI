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ổng hợp" sheetId="1" state="visible" r:id="rId1"/>
    <sheet name="IEEE 1016-2009 SDD Checklist" sheetId="2" state="visible" r:id="rId2"/>
    <sheet name="Phát hiện chi tiết" sheetId="3" state="visible" r:id="rId3"/>
  </sheets>
  <definedNames>
    <definedName name="_xlnm._FilterDatabase" localSheetId="1" hidden="1">'IEEE 1016-2009 SDD Checklist'!$A$1:$E$20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b val="1"/>
    </font>
    <font>
      <name val="Calibri"/>
    </font>
  </fonts>
  <fills count="5">
    <fill>
      <patternFill/>
    </fill>
    <fill>
      <patternFill patternType="gray125"/>
    </fill>
    <fill>
      <patternFill patternType="solid">
        <fgColor rgb="FF1F3A93"/>
        <bgColor rgb="FF003366"/>
      </patternFill>
    </fill>
    <fill>
      <patternFill patternType="solid">
        <fgColor rgb="FFF4F6F7"/>
        <bgColor rgb="FFFFFFFF"/>
      </patternFill>
    </fill>
    <fill>
      <patternFill patternType="solid">
        <fgColor rgb="FFFFFFFF"/>
        <bgColor rgb="FFF4F6F7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center" wrapText="1"/>
    </xf>
    <xf numFmtId="0" fontId="0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general" vertical="center" wrapText="1"/>
    </xf>
    <xf numFmtId="0" fontId="0" fillId="0" borderId="3" pivotButton="0" quotePrefix="0" xfId="0"/>
    <xf numFmtId="0" fontId="4" fillId="2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1F3A93"/>
          <bgColor rgb="FF000000"/>
        </patternFill>
      </fill>
    </dxf>
    <dxf>
      <fill>
        <patternFill patternType="solid">
          <fgColor rgb="FFF4F6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  <dxf>
      <fill>
        <patternFill patternType="solid">
          <fgColor rgb="00D5F5E3"/>
        </patternFill>
      </fill>
    </dxf>
    <dxf>
      <fill>
        <patternFill patternType="solid">
          <fgColor rgb="00FCF3CF"/>
        </patternFill>
      </fill>
    </dxf>
    <dxf>
      <fill>
        <patternFill patternType="solid">
          <fgColor rgb="00FADBD8"/>
        </patternFill>
      </fill>
    </dxf>
    <dxf>
      <fill>
        <patternFill patternType="solid">
          <fgColor rgb="00EAEC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4F6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1F3A93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style="8" min="1" max="1"/>
    <col width="80" customWidth="1" style="8" min="2" max="2"/>
    <col width="14" customWidth="1" style="8" min="3" max="3"/>
  </cols>
  <sheetData>
    <row r="1">
      <c r="A1" s="9" t="inlineStr">
        <is>
          <t>Kết quả review Blueprint (SDD) theo checklist IEEE 1016-2009</t>
        </is>
      </c>
    </row>
    <row r="3">
      <c r="A3" s="10" t="inlineStr">
        <is>
          <t>Tài liệu được review</t>
        </is>
      </c>
      <c r="B3" s="11" t="inlineStr">
        <is>
          <t>doc/04-design/BLUEPRINT.md + doc/04-design/schema.sql – BLUEPRINT-AICHAT-001</t>
        </is>
      </c>
      <c r="C3" s="11" t="n"/>
    </row>
    <row r="4">
      <c r="A4" s="10" t="inlineStr">
        <is>
          <t>Phiên bản</t>
        </is>
      </c>
      <c r="B4" s="11" t="inlineStr">
        <is>
          <t>Review trên v0.1; kết quả dưới đây phản ánh v0.2 sau khi đã sửa 11 lỗi (SAD đồng bộ lên v0.3)</t>
        </is>
      </c>
      <c r="C4" s="11" t="n"/>
    </row>
    <row r="5">
      <c r="A5" s="10" t="inlineStr">
        <is>
          <t>Tài liệu gốc</t>
        </is>
      </c>
      <c r="B5" s="11" t="inlineStr">
        <is>
          <t>BRD v0.2, PRD v0.2, USER_STORIES v0.1, SAD v0.2</t>
        </is>
      </c>
      <c r="C5" s="11" t="n"/>
    </row>
    <row r="6">
      <c r="A6" s="10" t="inlineStr">
        <is>
          <t>Checklist</t>
        </is>
      </c>
      <c r="B6" s="11" t="inlineStr">
        <is>
          <t>doc/templates/BluePrint_Design_IEEE_1016_2009_Checklist.xlsx</t>
        </is>
      </c>
      <c r="C6" s="11" t="n"/>
    </row>
    <row r="7">
      <c r="A7" s="10" t="inlineStr">
        <is>
          <t>Ngày review</t>
        </is>
      </c>
      <c r="B7" s="11" t="inlineStr">
        <is>
          <t>2026-10-24</t>
        </is>
      </c>
      <c r="C7" s="11" t="n"/>
    </row>
    <row r="8">
      <c r="A8" s="10" t="inlineStr">
        <is>
          <t>Người review</t>
        </is>
      </c>
      <c r="B8" s="11" t="inlineStr">
        <is>
          <t>Claude (AI review) – Blueprint do chính Claude soạn, cần Tech Lead xác nhận</t>
        </is>
      </c>
      <c r="C8" s="11" t="n"/>
    </row>
    <row r="9">
      <c r="A9" s="11" t="n"/>
      <c r="B9" s="11" t="n"/>
      <c r="C9" s="11" t="n"/>
    </row>
    <row r="10">
      <c r="A10" s="12" t="inlineStr">
        <is>
          <t>Kết quả đánh giá</t>
        </is>
      </c>
      <c r="B10" s="12" t="inlineStr">
        <is>
          <t>Số tiêu chí</t>
        </is>
      </c>
      <c r="C10" s="12" t="inlineStr">
        <is>
          <t>Tỷ lệ</t>
        </is>
      </c>
    </row>
    <row r="11">
      <c r="A11" s="11" t="inlineStr">
        <is>
          <t>Đạt</t>
        </is>
      </c>
      <c r="B11" s="11">
        <f>COUNTIF('IEEE 1016-2009 SDD Checklist'!$F$2:$F$20,A11)</f>
        <v/>
      </c>
      <c r="C11" s="13">
        <f>IF($B$15=0,0,B11/$B$15)</f>
        <v/>
      </c>
    </row>
    <row r="12">
      <c r="A12" s="11" t="inlineStr">
        <is>
          <t>Đạt một phần</t>
        </is>
      </c>
      <c r="B12" s="11">
        <f>COUNTIF('IEEE 1016-2009 SDD Checklist'!$F$2:$F$20,A12)</f>
        <v/>
      </c>
      <c r="C12" s="13">
        <f>IF($B$15=0,0,B12/$B$15)</f>
        <v/>
      </c>
    </row>
    <row r="13">
      <c r="A13" s="11" t="inlineStr">
        <is>
          <t>Chưa đạt</t>
        </is>
      </c>
      <c r="B13" s="11">
        <f>COUNTIF('IEEE 1016-2009 SDD Checklist'!$F$2:$F$20,A13)</f>
        <v/>
      </c>
      <c r="C13" s="13">
        <f>IF($B$15=0,0,B13/$B$15)</f>
        <v/>
      </c>
    </row>
    <row r="14">
      <c r="A14" s="11" t="inlineStr">
        <is>
          <t>Không áp dụng</t>
        </is>
      </c>
      <c r="B14" s="11">
        <f>COUNTIF('IEEE 1016-2009 SDD Checklist'!$F$2:$F$20,A14)</f>
        <v/>
      </c>
      <c r="C14" s="13">
        <f>IF($B$15=0,0,B14/$B$15)</f>
        <v/>
      </c>
    </row>
    <row r="15">
      <c r="A15" s="10" t="inlineStr">
        <is>
          <t>Tổng</t>
        </is>
      </c>
      <c r="B15" s="10">
        <f>SUM(B11:B14)</f>
        <v/>
      </c>
      <c r="C15" s="14">
        <f>SUM(C11:C14)</f>
        <v/>
      </c>
    </row>
    <row r="16">
      <c r="A16" s="11" t="n"/>
      <c r="B16" s="11" t="n"/>
      <c r="C16" s="11" t="n"/>
    </row>
    <row r="17">
      <c r="A17" s="12" t="inlineStr">
        <is>
          <t>Status (theo template)</t>
        </is>
      </c>
      <c r="B17" s="12" t="inlineStr">
        <is>
          <t>Số tiêu chí</t>
        </is>
      </c>
      <c r="C17" s="11" t="n"/>
    </row>
    <row r="18">
      <c r="A18" s="11" t="inlineStr">
        <is>
          <t>Done</t>
        </is>
      </c>
      <c r="B18" s="11">
        <f>COUNTIF('IEEE 1016-2009 SDD Checklist'!$D$2:$D$20,A18)</f>
        <v/>
      </c>
      <c r="C18" s="11" t="n"/>
    </row>
    <row r="19">
      <c r="A19" s="11" t="inlineStr">
        <is>
          <t>In Progress</t>
        </is>
      </c>
      <c r="B19" s="11">
        <f>COUNTIF('IEEE 1016-2009 SDD Checklist'!$D$2:$D$20,A19)</f>
        <v/>
      </c>
      <c r="C19" s="11" t="n"/>
    </row>
    <row r="20">
      <c r="A20" s="11" t="inlineStr">
        <is>
          <t>Pending</t>
        </is>
      </c>
      <c r="B20" s="11">
        <f>COUNTIF('IEEE 1016-2009 SDD Checklist'!$D$2:$D$20,A20)</f>
        <v/>
      </c>
      <c r="C20" s="11" t="n"/>
    </row>
    <row r="21">
      <c r="A21" s="11" t="inlineStr">
        <is>
          <t>N/A</t>
        </is>
      </c>
      <c r="B21" s="11">
        <f>COUNTIF('IEEE 1016-2009 SDD Checklist'!$D$2:$D$20,A21)</f>
        <v/>
      </c>
      <c r="C21" s="11" t="n"/>
    </row>
    <row r="22">
      <c r="A22" s="11" t="n"/>
      <c r="B22" s="11" t="n"/>
      <c r="C22" s="11" t="n"/>
    </row>
    <row r="23">
      <c r="A23" s="12" t="inlineStr">
        <is>
          <t>Mức độ phát hiện</t>
        </is>
      </c>
      <c r="B23" s="12" t="inlineStr">
        <is>
          <t>Tổng</t>
        </is>
      </c>
      <c r="C23" s="12" t="inlineStr">
        <is>
          <t>Còn mở</t>
        </is>
      </c>
    </row>
    <row r="24">
      <c r="A24" s="11" t="inlineStr">
        <is>
          <t>High</t>
        </is>
      </c>
      <c r="B24" s="11">
        <f>COUNTIF('Phát hiện chi tiết'!$B$2:$B$14,A24)</f>
        <v/>
      </c>
      <c r="C24" s="11">
        <f>COUNTIFS('Phát hiện chi tiết'!$B$2:$B$14,A24,'Phát hiện chi tiết'!$H$2:$H$14,"&lt;&gt;Closed")</f>
        <v/>
      </c>
    </row>
    <row r="25">
      <c r="A25" s="11" t="inlineStr">
        <is>
          <t>Medium</t>
        </is>
      </c>
      <c r="B25" s="11">
        <f>COUNTIF('Phát hiện chi tiết'!$B$2:$B$14,A25)</f>
        <v/>
      </c>
      <c r="C25" s="11">
        <f>COUNTIFS('Phát hiện chi tiết'!$B$2:$B$14,A25,'Phát hiện chi tiết'!$H$2:$H$14,"&lt;&gt;Closed")</f>
        <v/>
      </c>
    </row>
    <row r="26">
      <c r="A26" s="11" t="inlineStr">
        <is>
          <t>Low</t>
        </is>
      </c>
      <c r="B26" s="11">
        <f>COUNTIF('Phát hiện chi tiết'!$B$2:$B$14,A26)</f>
        <v/>
      </c>
      <c r="C26" s="11">
        <f>COUNTIFS('Phát hiện chi tiết'!$B$2:$B$14,A26,'Phát hiện chi tiết'!$H$2:$H$14,"&lt;&gt;Closed")</f>
        <v/>
      </c>
    </row>
    <row r="27">
      <c r="A27" s="11" t="n"/>
      <c r="B27" s="11" t="n"/>
      <c r="C27" s="11" t="n"/>
    </row>
    <row r="28">
      <c r="A28" s="10" t="inlineStr">
        <is>
          <t>Kết luận</t>
        </is>
      </c>
      <c r="B28" s="11">
        <f>IF(AND(B13=0,C24=0),"Sẵn sàng duyệt thiết kế chi tiết","Chưa sẵn sàng duyệt – còn tiêu chí Chưa đạt hoặc phát hiện High đang mở")</f>
        <v/>
      </c>
      <c r="C28" s="11" t="n"/>
    </row>
    <row r="29">
      <c r="A29" s="10" t="inlineStr">
        <is>
          <t>Nhận xét</t>
        </is>
      </c>
      <c r="B29" s="11" t="inlineStr">
        <is>
          <t>Blueprint v0.2 đủ 8 góc nhìn IEEE 1016-2009, phần tử thiết kế, phân bổ tài nguyên, lý do thiết kế và truy vết 27/27 story, 24/24 NFR. Review phát hiện 13 vấn đề; 11 lỗi thiết kế đã sửa (gồm 3 lỗi Medium: giữ khóa khi ghi object storage, truy xuất qua join làm mất chỉ mục HNSW, lượt quét purge bị RLS chặn). Còn mở 2 mục chờ bên ngoài: quyết định của PO/IT-Security (B-DEF-012) và kết quả SPIKE-01…04 (B-DEF-013).</t>
        </is>
      </c>
      <c r="C29" s="11" t="n"/>
    </row>
    <row r="30">
      <c r="A30" s="11" t="n"/>
      <c r="B30" s="11" t="n"/>
      <c r="C30" s="11" t="n"/>
    </row>
    <row r="31">
      <c r="A31" s="10" t="inlineStr">
        <is>
          <t>Quy ước</t>
        </is>
      </c>
      <c r="B31" s="11" t="n"/>
      <c r="C31" s="11" t="n"/>
    </row>
    <row r="32">
      <c r="A32" s="11" t="inlineStr">
        <is>
          <t>Đạt → Done</t>
        </is>
      </c>
      <c r="B32" s="11" t="inlineStr">
        <is>
          <t>Tiêu chí được đáp ứng, không cần hành động bắt buộc.</t>
        </is>
      </c>
      <c r="C32" s="11" t="n"/>
    </row>
    <row r="33">
      <c r="A33" s="11" t="inlineStr">
        <is>
          <t>Đạt một phần → In Progress</t>
        </is>
      </c>
      <c r="B33" s="11" t="inlineStr">
        <is>
          <t>Đã có nội dung nhưng còn thiếu hoặc có lỗi; xem cột Notes / Action Items.</t>
        </is>
      </c>
      <c r="C33" s="11" t="n"/>
    </row>
    <row r="34">
      <c r="A34" s="11" t="inlineStr">
        <is>
          <t>Chưa đạt → Pending</t>
        </is>
      </c>
      <c r="B34" s="11" t="inlineStr">
        <is>
          <t>Nội dung chưa có hoặc chưa dùng được.</t>
        </is>
      </c>
      <c r="C34" s="11" t="n"/>
    </row>
    <row r="35">
      <c r="A35" s="11" t="inlineStr">
        <is>
          <t>Không áp dụng → N/A</t>
        </is>
      </c>
      <c r="B35" s="11" t="inlineStr">
        <is>
          <t>Tiêu chí không liên quan.</t>
        </is>
      </c>
      <c r="C35" s="11" t="n"/>
    </row>
    <row r="36">
      <c r="A36" s="11" t="inlineStr">
        <is>
          <t>Cột cần cập nhật khi xử lý</t>
        </is>
      </c>
      <c r="B36" s="11" t="inlineStr">
        <is>
          <t>Sheet checklist: cột D, E, F. Sheet 'Phát hiện chi tiết': cột H (Open / In Progress / Closed).</t>
        </is>
      </c>
      <c r="C36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Right"/>
      <selection pane="bottomLeft"/>
      <selection pane="bottomRight" activeCell="A1" activeCellId="0" sqref="A1"/>
      <selection pane="bottomLeft" activeCell="G14" activeCellId="0" sqref="G14"/>
    </sheetView>
  </sheetViews>
  <sheetFormatPr baseColWidth="8" defaultColWidth="8.6796875" defaultRowHeight="15" customHeight="0" zeroHeight="0" outlineLevelRow="0"/>
  <cols>
    <col width="30" customWidth="1" style="15" min="1" max="1"/>
    <col width="28" customWidth="1" style="15" min="2" max="2"/>
    <col width="60" customWidth="1" style="15" min="3" max="3"/>
    <col width="15" customWidth="1" style="15" min="4" max="4"/>
    <col width="75" customWidth="1" style="15" min="5" max="5"/>
    <col width="18" customWidth="1" style="8" min="6" max="6"/>
    <col width="26" customWidth="1" style="8" min="7" max="7"/>
  </cols>
  <sheetData>
    <row r="1" ht="15" customHeight="1" s="8">
      <c r="A1" s="16" t="inlineStr">
        <is>
          <t>Category</t>
        </is>
      </c>
      <c r="B1" s="16" t="inlineStr">
        <is>
          <t>Checklist Item</t>
        </is>
      </c>
      <c r="C1" s="16" t="inlineStr">
        <is>
          <t>Description / Question</t>
        </is>
      </c>
      <c r="D1" s="16" t="inlineStr">
        <is>
          <t>Status</t>
        </is>
      </c>
      <c r="E1" s="16" t="inlineStr">
        <is>
          <t>Notes / Action Items</t>
        </is>
      </c>
      <c r="F1" s="17" t="inlineStr">
        <is>
          <t>Kết quả đánh giá</t>
        </is>
      </c>
      <c r="G1" s="17" t="inlineStr">
        <is>
          <t>Tham chiếu trong Blueprint</t>
        </is>
      </c>
    </row>
    <row r="2" ht="28.35" customHeight="1" s="8">
      <c r="A2" s="18" t="inlineStr">
        <is>
          <t>1. Context &amp; Subject</t>
        </is>
      </c>
      <c r="B2" s="19" t="inlineStr">
        <is>
          <t>Design Subject Scope</t>
        </is>
      </c>
      <c r="C2" s="19" t="inlineStr">
        <is>
          <t>Does the document clearly define the software design subject, its system boundary, and overarching goals?</t>
        </is>
      </c>
      <c r="D2" s="20" t="inlineStr">
        <is>
          <t>Done</t>
        </is>
      </c>
      <c r="E2" s="21" t="inlineStr">
        <is>
          <t>Mục 1.1–1.2: định danh, mô tả hệ thống, mục đích (BO-001…BO-006), bảng ranh giới (hệ thống ngoài, người dùng, giao diện, ranh giới tin cậy TB-1…TB-5, môi trường triển khai).</t>
        </is>
      </c>
      <c r="F2" s="22" t="inlineStr">
        <is>
          <t>Đạt</t>
        </is>
      </c>
      <c r="G2" s="23" t="inlineStr">
        <is>
          <t>1.1, 1.2</t>
        </is>
      </c>
    </row>
    <row r="3" ht="28.35" customHeight="1" s="8">
      <c r="A3" s="24" t="n"/>
      <c r="B3" s="25" t="inlineStr">
        <is>
          <t>Context View</t>
        </is>
      </c>
      <c r="C3" s="25" t="inlineStr">
        <is>
          <t>Is there a view showing the system's relationship with its external environment, external services, and actors?</t>
        </is>
      </c>
      <c r="D3" s="26" t="inlineStr">
        <is>
          <t>Done</t>
        </is>
      </c>
      <c r="E3" s="27" t="inlineStr">
        <is>
          <t>Sơ đồ bối cảnh theo ranh giới tin cậy (người dùng, LB, subnet ứng dụng/dữ liệu, sandbox, IdP, LLM); luồng hệ thống chi tiết tham chiếu SAD 2, 7.</t>
        </is>
      </c>
      <c r="F3" s="22" t="inlineStr">
        <is>
          <t>Đạt</t>
        </is>
      </c>
      <c r="G3" s="23" t="inlineStr">
        <is>
          <t>1.2</t>
        </is>
      </c>
    </row>
    <row r="4" ht="28.35" customHeight="1" s="8">
      <c r="A4" s="28" t="inlineStr">
        <is>
          <t>2. Stakeholders &amp; Concerns</t>
        </is>
      </c>
      <c r="B4" s="19" t="inlineStr">
        <is>
          <t>Stakeholder Identification</t>
        </is>
      </c>
      <c r="C4" s="19" t="inlineStr">
        <is>
          <t>Are all key stakeholders (users, developers, maintainers, operators) explicitly identified?</t>
        </is>
      </c>
      <c r="D4" s="20" t="inlineStr">
        <is>
          <t>Done</t>
        </is>
      </c>
      <c r="E4" s="21" t="inlineStr">
        <is>
          <t>9 nhóm stakeholder truy về STK của BRD, gồm người dùng, PO, developer, kỹ sư AI, QA, IT/Security, vận hành, chủ sở hữu tài liệu, sponsor. [v0.2] Sửa nhãn CN-16 'Nhà cung cấp/ PO' → 'PO, Tech Lead' (B-DEF-009).</t>
        </is>
      </c>
      <c r="F4" s="22" t="inlineStr">
        <is>
          <t>Đạt</t>
        </is>
      </c>
      <c r="G4" s="23" t="inlineStr">
        <is>
          <t>2.1, 2.2</t>
        </is>
      </c>
    </row>
    <row r="5" ht="28.35" customHeight="1" s="8">
      <c r="A5" s="24" t="n"/>
      <c r="B5" s="25" t="inlineStr">
        <is>
          <t>Design Concerns</t>
        </is>
      </c>
      <c r="C5" s="25" t="inlineStr">
        <is>
          <t>Are structural and non-functional concerns (e.g., security, scalability of multi-agent networks, latency) mapped to the design?</t>
        </is>
      </c>
      <c r="D5" s="26" t="inlineStr">
        <is>
          <t>Done</t>
        </is>
      </c>
      <c r="E5" s="27" t="inlineStr">
        <is>
          <t>16 concern (CN-01…CN-16) có ưu tiên, tiêu chí đo được và view xử lý; 14 kịch bản chất lượng 6 phần (QA-01…QA-14), 10 kịch bản UX, ma trận ràng buộc UX; bảng concern → view → phần tử (6.1). [v0.2] Thống nhất WCAG 2.2 AA (B-DEF-008).</t>
        </is>
      </c>
      <c r="F5" s="22" t="inlineStr">
        <is>
          <t>Đạt</t>
        </is>
      </c>
      <c r="G5" s="23" t="inlineStr">
        <is>
          <t>2.2–2.5; 6.1</t>
        </is>
      </c>
    </row>
    <row r="6" ht="28.35" customHeight="1" s="8">
      <c r="A6" s="18" t="inlineStr">
        <is>
          <t>3. Design Views</t>
        </is>
      </c>
      <c r="B6" s="19" t="inlineStr">
        <is>
          <t>Composition View</t>
        </is>
      </c>
      <c r="C6" s="19" t="inlineStr">
        <is>
          <t>Is the system logically decomposed into major subsystems, modules, or microservices?</t>
        </is>
      </c>
      <c r="D6" s="20" t="inlineStr">
        <is>
          <t>Done</t>
        </is>
      </c>
      <c r="E6" s="21" t="inlineStr">
        <is>
          <t>Cây thư mục/package (frontend, backend app/api/modules/ports/adapters/infra, worker, embedding-service, deploy) và bảng trách nhiệm + phụ thuộc từng phần tử.</t>
        </is>
      </c>
      <c r="F6" s="22" t="inlineStr">
        <is>
          <t>Đạt</t>
        </is>
      </c>
      <c r="G6" s="23" t="inlineStr">
        <is>
          <t>3.1</t>
        </is>
      </c>
    </row>
    <row r="7" ht="28.35" customHeight="1" s="8">
      <c r="A7" s="29" t="n"/>
      <c r="B7" s="25" t="inlineStr">
        <is>
          <t>Logical View</t>
        </is>
      </c>
      <c r="C7" s="25" t="inlineStr">
        <is>
          <t>Are the static structures (classes, interfaces, data types) clearly documented?</t>
        </is>
      </c>
      <c r="D7" s="26" t="inlineStr">
        <is>
          <t>Done</t>
        </is>
      </c>
      <c r="E7" s="27" t="inlineStr">
        <is>
          <t>Kiểu dữ liệu miền, schema đầu ra LLM (Pydantic), 4 port Protocol, sơ đồ lớp dịch vụ, bảng bất biến. [v0.2] Bổ sung kiểu còn thiếu: UploadBatch, Role, IdTokenClaims, SessionContext, IngestOutcome, Conversation (B-DEF-006); bất biến mới 'đoạn tồn tại ⇔ tài liệu READY và chưa xóa' (B-DEF-003).</t>
        </is>
      </c>
      <c r="F7" s="22" t="inlineStr">
        <is>
          <t>Đạt</t>
        </is>
      </c>
      <c r="G7" s="23" t="inlineStr">
        <is>
          <t>3.2</t>
        </is>
      </c>
    </row>
    <row r="8" ht="28.35" customHeight="1" s="8">
      <c r="A8" s="29" t="n"/>
      <c r="B8" s="19" t="inlineStr">
        <is>
          <t>Dependency View</t>
        </is>
      </c>
      <c r="C8" s="19" t="inlineStr">
        <is>
          <t>Are the dependencies, coupling, and import relationships between components explicitly mapped?</t>
        </is>
      </c>
      <c r="D8" s="20" t="inlineStr">
        <is>
          <t>Done</t>
        </is>
      </c>
      <c r="E8" s="21" t="inlineStr">
        <is>
          <t>Quy tắc tầng và hợp đồng import-linter, ma trận phụ thuộc module (không vòng), composition root duy nhất; thư viện ngoài tham chiếu SAD 11.2.</t>
        </is>
      </c>
      <c r="F8" s="22" t="inlineStr">
        <is>
          <t>Đạt</t>
        </is>
      </c>
      <c r="G8" s="23" t="inlineStr">
        <is>
          <t>3.3</t>
        </is>
      </c>
    </row>
    <row r="9" ht="28.35" customHeight="1" s="8">
      <c r="A9" s="29" t="n"/>
      <c r="B9" s="25" t="inlineStr">
        <is>
          <t>Interaction View</t>
        </is>
      </c>
      <c r="C9" s="25" t="inlineStr">
        <is>
          <t>Are the dynamic interactions and message passing (e.g., orchestrator dispatching tasks to agents) modeled?</t>
        </is>
      </c>
      <c r="D9" s="26" t="inlineStr">
        <is>
          <t>Done</t>
        </is>
      </c>
      <c r="E9" s="27" t="inlineStr">
        <is>
          <t>Sơ đồ tuần tự mức module cho hỏi đáp và ingest; bảng phân phối sự kiện SSE qua LISTEN/NOTIFY; luồng hệ thống tham chiếu SAD 7.</t>
        </is>
      </c>
      <c r="F9" s="22" t="inlineStr">
        <is>
          <t>Đạt</t>
        </is>
      </c>
      <c r="G9" s="23" t="inlineStr">
        <is>
          <t>3.4</t>
        </is>
      </c>
    </row>
    <row r="10" ht="28.35" customHeight="1" s="8">
      <c r="A10" s="29" t="n"/>
      <c r="B10" s="19" t="inlineStr">
        <is>
          <t>Information View</t>
        </is>
      </c>
      <c r="C10" s="19" t="inlineStr">
        <is>
          <t>Are persistent data structures, formats, and databases (e.g., SQL, Vector storage, Document models) defined?</t>
        </is>
      </c>
      <c r="D10" s="20" t="inlineStr">
        <is>
          <t>Done</t>
        </is>
      </c>
      <c r="E10" s="21" t="inlineStr">
        <is>
          <t>schema.sql đầy đủ (bảng, kiểu, chỉ mục, RLS, quyền, phân vùng), danh mục bảng + lưu giữ, định dạng dữ liệu, thuộc tính analytics, ước tính dung lượng. [v0.2] Phát hiện và sửa: lượt quét purge của worker không đọc được dữ liệu liên workspace dưới RLS → thêm hàm SECURITY DEFINER chỉ trả ID (B-DEF-004); ràng buộc 'mỗi người chỉ sở hữu 1 workspace' chặn workspace dùng chung → thay bằng workspace.personal_owner_id (B-DEF-010).</t>
        </is>
      </c>
      <c r="F10" s="22" t="inlineStr">
        <is>
          <t>Đạt</t>
        </is>
      </c>
      <c r="G10" s="23" t="inlineStr">
        <is>
          <t>3.5; schema.sql</t>
        </is>
      </c>
    </row>
    <row r="11" ht="28.35" customHeight="1" s="8">
      <c r="A11" s="29" t="n"/>
      <c r="B11" s="25" t="inlineStr">
        <is>
          <t>Interface View</t>
        </is>
      </c>
      <c r="C11" s="25" t="inlineStr">
        <is>
          <t>Are all internal and external component interfaces (APIs, schemas, gRPC contracts) specified in detail?</t>
        </is>
      </c>
      <c r="D11" s="26" t="inlineStr">
        <is>
          <t>Done</t>
        </is>
      </c>
      <c r="E11" s="27" t="inlineStr">
        <is>
          <t>Header, model Pydantic yêu cầu/phản hồi, danh mục mã lỗi, định dạng SSE, giao diện nội bộ (embedding, sandbox, NOTIFY), hơn 30 biến cấu hình có mặc định và nguồn. [v0.2] Bổ sung mã storage_unavailable, server_busy, idempotency_mismatch vào danh mục.</t>
        </is>
      </c>
      <c r="F11" s="22" t="inlineStr">
        <is>
          <t>Đạt</t>
        </is>
      </c>
      <c r="G11" s="23" t="inlineStr">
        <is>
          <t>3.6</t>
        </is>
      </c>
    </row>
    <row r="12" ht="28.35" customHeight="1" s="8">
      <c r="A12" s="29" t="n"/>
      <c r="B12" s="19" t="inlineStr">
        <is>
          <t>State Dynamics View</t>
        </is>
      </c>
      <c r="C12" s="19" t="inlineStr">
        <is>
          <t>If applicable, are the discrete states and transitions of reactive components (e.g., hardware controllers) modeled?</t>
        </is>
      </c>
      <c r="D12" s="20" t="inlineStr">
        <is>
          <t>Done</t>
        </is>
      </c>
      <c r="E12" s="21" t="inlineStr">
        <is>
          <t>Máy trạng thái job, câu hỏi (gồm FAILED → PENDING khi gửi lại), phiên, lô tải lên, circuit breaker; tài liệu tham chiếu SAD 5.4.</t>
        </is>
      </c>
      <c r="F12" s="22" t="inlineStr">
        <is>
          <t>Đạt</t>
        </is>
      </c>
      <c r="G12" s="23" t="inlineStr">
        <is>
          <t>3.7</t>
        </is>
      </c>
    </row>
    <row r="13" ht="28.35" customHeight="1" s="8">
      <c r="A13" s="24" t="n"/>
      <c r="B13" s="25" t="inlineStr">
        <is>
          <t>Algorithm View</t>
        </is>
      </c>
      <c r="C13" s="25" t="inlineStr">
        <is>
          <t>Are complex core algorithms or business logic flows thoroughly described?</t>
        </is>
      </c>
      <c r="D13" s="26" t="inlineStr">
        <is>
          <t>Done</t>
        </is>
      </c>
      <c r="E13" s="27" t="inlineStr">
        <is>
          <t>12 thuật toán có mã giả/SQL (hạn mức, kiểm tra file, trích-chia đoạn, ingest, truy xuất RRF, sinh-kiểm tra trích dẫn với ngân sách thời gian, circuit breaker, idempotency, rate limit, purge, lấy job, xóa mềm). [v0.2] Sửa: ALG-01 ghi object storage trong khi giữ khóa lô (B-DEF-001); file quá dung lượng không trả chỗ đặt (B-DEF-002); ALG-05 lọc qua join với document có thể làm HNSW không dùng được chỉ mục ở quy mô lớn → xóa đoạn ngay khi xóa mềm, truy xuất chỉ quét chunk, thêm ALG-12 (B-DEF-003); hàng chờ sandbox không giới hạn (B-DEF-005).</t>
        </is>
      </c>
      <c r="F13" s="22" t="inlineStr">
        <is>
          <t>Đạt</t>
        </is>
      </c>
      <c r="G13" s="23" t="inlineStr">
        <is>
          <t>3.8</t>
        </is>
      </c>
    </row>
    <row r="14" ht="28.35" customHeight="1" s="8">
      <c r="A14" s="28" t="inlineStr">
        <is>
          <t>4. Design Elements</t>
        </is>
      </c>
      <c r="B14" s="19" t="inlineStr">
        <is>
          <t>Element Attributes</t>
        </is>
      </c>
      <c r="C14" s="19" t="inlineStr">
        <is>
          <t>Does each identified design element have a clear name, purpose, and functional description?</t>
        </is>
      </c>
      <c r="D14" s="20" t="inlineStr">
        <is>
          <t>Done</t>
        </is>
      </c>
      <c r="E14" s="21" t="inlineStr">
        <is>
          <t>22 phần tử DE-01…DE-22, mỗi phần tử có tên, loại, mục đích, mô tả chức năng, vào/ra, yêu cầu. [v0.2] Sửa tham chiếu sai 'DE-02 sandbox' → DE-15 (B-DEF-007).</t>
        </is>
      </c>
      <c r="F14" s="22" t="inlineStr">
        <is>
          <t>Đạt</t>
        </is>
      </c>
      <c r="G14" s="23" t="inlineStr">
        <is>
          <t>4.1</t>
        </is>
      </c>
    </row>
    <row r="15" ht="28.35" customHeight="1" s="8">
      <c r="A15" s="24" t="n"/>
      <c r="B15" s="25" t="inlineStr">
        <is>
          <t>Resource Allocation</t>
        </is>
      </c>
      <c r="C15" s="25" t="inlineStr">
        <is>
          <t>Are system resources (CPU, GPU VRAM for models, network bandwidth) allocated and assigned to specific design elements?</t>
        </is>
      </c>
      <c r="D15" s="26" t="inlineStr">
        <is>
          <t>Done</t>
        </is>
      </c>
      <c r="E15" s="27" t="inlineStr">
        <is>
          <t>CPU/RAM/số bản, pool kết nối CSDL, giới hạn sandbox, VRAM cho phương án GPU, tham số PostgreSQL, ngân sách token và băng thông cho từng phần tử. Lưu ý: số liệu embedding CPU chưa kiểm chứng (SPIKE-02 – B-DEF-013).</t>
        </is>
      </c>
      <c r="F15" s="22" t="inlineStr">
        <is>
          <t>Đạt</t>
        </is>
      </c>
      <c r="G15" s="23" t="inlineStr">
        <is>
          <t>4.2</t>
        </is>
      </c>
    </row>
    <row r="16" ht="28.35" customHeight="1" s="8">
      <c r="A16" s="18" t="inlineStr">
        <is>
          <t>5. Design Rationale</t>
        </is>
      </c>
      <c r="B16" s="19" t="inlineStr">
        <is>
          <t>Decision Documentation</t>
        </is>
      </c>
      <c r="C16" s="19" t="inlineStr">
        <is>
          <t>Are the reasons for key architectural choices (e.g., choosing a specific embedding model or messaging queue) fully documented?</t>
        </is>
      </c>
      <c r="D16" s="20" t="inlineStr">
        <is>
          <t>Done</t>
        </is>
      </c>
      <c r="E16" s="21" t="inlineStr">
        <is>
          <t>Tham chiếu ADR-001…ADR-015 (SAD) cho quyết định lớn; 12 quyết định chi tiết DD-01…DD-12 có lý do và truy vết.</t>
        </is>
      </c>
      <c r="F16" s="22" t="inlineStr">
        <is>
          <t>Đạt</t>
        </is>
      </c>
      <c r="G16" s="23" t="inlineStr">
        <is>
          <t>5.1, 5.2</t>
        </is>
      </c>
    </row>
    <row r="17" ht="28.35" customHeight="1" s="8">
      <c r="A17" s="29" t="n"/>
      <c r="B17" s="25" t="inlineStr">
        <is>
          <t>Alternatives Considered</t>
        </is>
      </c>
      <c r="C17" s="25" t="inlineStr">
        <is>
          <t>Are rejected architectural alternatives and the technical reasons for their rejection included?</t>
        </is>
      </c>
      <c r="D17" s="26" t="inlineStr">
        <is>
          <t>Done</t>
        </is>
      </c>
      <c r="E17" s="27" t="inlineStr">
        <is>
          <t>Mỗi DD nêu phương án bị loại kèm lý do kỹ thuật (vd. JWT phiên, container/microVM cho sandbox, Redis cho rate limit, hai truy vấn truy xuất).</t>
        </is>
      </c>
      <c r="F17" s="22" t="inlineStr">
        <is>
          <t>Đạt</t>
        </is>
      </c>
      <c r="G17" s="23" t="inlineStr">
        <is>
          <t>5.2</t>
        </is>
      </c>
    </row>
    <row r="18" ht="28.35" customHeight="1" s="8">
      <c r="A18" s="24" t="n"/>
      <c r="B18" s="19" t="inlineStr">
        <is>
          <t>Assumptions &amp; Constraints</t>
        </is>
      </c>
      <c r="C18" s="19" t="inlineStr">
        <is>
          <t>Are all technical assumptions, external constraints, and hardware limitations documented?</t>
        </is>
      </c>
      <c r="D18" s="20" t="inlineStr">
        <is>
          <t>Done</t>
        </is>
      </c>
      <c r="E18" s="21" t="inlineStr">
        <is>
          <t>Bảng giả định/ràng buộc kỹ thuật, nghiệp vụ, môi trường, dữ liệu, PDF; giả định cần kiểm chứng gắn với SPIKE-01…04. Các giả định chưa kiểm chứng được theo dõi ở B-DEF-013.</t>
        </is>
      </c>
      <c r="F18" s="22" t="inlineStr">
        <is>
          <t>Đạt</t>
        </is>
      </c>
      <c r="G18" s="23" t="inlineStr">
        <is>
          <t>1.3; 5.3</t>
        </is>
      </c>
    </row>
    <row r="19" ht="28.35" customHeight="1" s="8">
      <c r="A19" s="28" t="inlineStr">
        <is>
          <t>6. Traceability &amp; QA</t>
        </is>
      </c>
      <c r="B19" s="25" t="inlineStr">
        <is>
          <t>Requirements Traceability</t>
        </is>
      </c>
      <c r="C19" s="25" t="inlineStr">
        <is>
          <t>Can every design element and view be traced directly back to a specific system requirement or use case?</t>
        </is>
      </c>
      <c r="D19" s="26" t="inlineStr">
        <is>
          <t>Done</t>
        </is>
      </c>
      <c r="E19" s="27" t="inlineStr">
        <is>
          <t>Truy vết concern → view → phần tử (6.1) và yêu cầu → phần tử → cách kiểm chứng cho 27/27 story, 24/24 NFR, sự kiện analytics (6.2).</t>
        </is>
      </c>
      <c r="F19" s="22" t="inlineStr">
        <is>
          <t>Đạt</t>
        </is>
      </c>
      <c r="G19" s="23" t="inlineStr">
        <is>
          <t>6.1, 6.2</t>
        </is>
      </c>
    </row>
    <row r="20" ht="28.35" customHeight="1" s="8">
      <c r="A20" s="24" t="n"/>
      <c r="B20" s="19" t="inlineStr">
        <is>
          <t>Completeness Check</t>
        </is>
      </c>
      <c r="C20" s="19" t="inlineStr">
        <is>
          <t>Does the SDD cover all functional and non-functional requirements without ambiguity?</t>
        </is>
      </c>
      <c r="D20" s="20" t="inlineStr">
        <is>
          <t>In Progress</t>
        </is>
      </c>
      <c r="E20" s="21" t="inlineStr">
        <is>
          <t>Phủ toàn bộ story và NFR; mơ hồ còn lại được liệt kê ở 6.3 nhưng chưa giải quyết được trong thiết kế: adapter LLM phụ thuộc nhà cung cấp (OQ-005), vùng dữ liệu (OQ-203), xung đột sao lưu – xóa (OQ-202), ngưỡng D-01…D-13 chưa được PO duyệt; US-015, US-019, US-022 thiết kế một phần – B-DEF-012.</t>
        </is>
      </c>
      <c r="F20" s="22" t="inlineStr">
        <is>
          <t>Đạt một phần</t>
        </is>
      </c>
      <c r="G20" s="23" t="inlineStr">
        <is>
          <t>6.3</t>
        </is>
      </c>
    </row>
  </sheetData>
  <autoFilter ref="A1:E20"/>
  <mergeCells count="6">
    <mergeCell ref="A16:A18"/>
    <mergeCell ref="A4:A5"/>
    <mergeCell ref="A2:A3"/>
    <mergeCell ref="A6:A13"/>
    <mergeCell ref="A19:A20"/>
    <mergeCell ref="A14:A15"/>
  </mergeCells>
  <conditionalFormatting sqref="D2:D20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conditionalFormatting sqref="F2:F20">
    <cfRule type="cellIs" priority="5" operator="equal" dxfId="9">
      <formula>"Đạt"</formula>
    </cfRule>
    <cfRule type="cellIs" priority="6" operator="equal" dxfId="10">
      <formula>"Đạt một phần"</formula>
    </cfRule>
    <cfRule type="cellIs" priority="7" operator="equal" dxfId="11">
      <formula>"Chưa đạt"</formula>
    </cfRule>
    <cfRule type="cellIs" priority="8" operator="equal" dxfId="12">
      <formula>"Không áp dụng"</formula>
    </cfRule>
  </conditionalFormatting>
  <dataValidations count="2">
    <dataValidation sqref="D2:D20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  <dataValidation sqref="F2:F20" showDropDown="0" showInputMessage="0" showErrorMessage="0" allowBlank="1" type="list">
      <formula1>"Đạt,Đạt một phần,Chưa đạt,Không áp dụng"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style="8" min="1" max="1"/>
    <col width="10" customWidth="1" style="8" min="2" max="2"/>
    <col width="28" customWidth="1" style="8" min="3" max="3"/>
    <col width="24" customWidth="1" style="8" min="4" max="4"/>
    <col width="60" customWidth="1" style="8" min="5" max="5"/>
    <col width="55" customWidth="1" style="8" min="6" max="6"/>
    <col width="18" customWidth="1" style="8" min="7" max="7"/>
    <col width="12" customWidth="1" style="8" min="8" max="8"/>
  </cols>
  <sheetData>
    <row r="1">
      <c r="A1" s="30" t="inlineStr">
        <is>
          <t>ID</t>
        </is>
      </c>
      <c r="B1" s="30" t="inlineStr">
        <is>
          <t>Mức độ</t>
        </is>
      </c>
      <c r="C1" s="30" t="inlineStr">
        <is>
          <t>Tiêu chí checklist</t>
        </is>
      </c>
      <c r="D1" s="30" t="inlineStr">
        <is>
          <t>Mục trong Blueprint</t>
        </is>
      </c>
      <c r="E1" s="30" t="inlineStr">
        <is>
          <t>Phát hiện</t>
        </is>
      </c>
      <c r="F1" s="30" t="inlineStr">
        <is>
          <t>Khuyến nghị</t>
        </is>
      </c>
      <c r="G1" s="30" t="inlineStr">
        <is>
          <t>Owner</t>
        </is>
      </c>
      <c r="H1" s="30" t="inlineStr">
        <is>
          <t>Trạng thái</t>
        </is>
      </c>
    </row>
    <row r="2">
      <c r="A2" s="31" t="inlineStr">
        <is>
          <t>B-DEF-001</t>
        </is>
      </c>
      <c r="B2" s="31" t="inlineStr">
        <is>
          <t>Medium</t>
        </is>
      </c>
      <c r="C2" s="31" t="inlineStr">
        <is>
          <t>Algorithm View</t>
        </is>
      </c>
      <c r="D2" s="31" t="inlineStr">
        <is>
          <t>3.8 ALG-01</t>
        </is>
      </c>
      <c r="E2" s="31" t="inlineStr">
        <is>
          <t>accept_file ghi file 20 MB lên object storage trong transaction đang giữ khóa hàng upload_batch và một kết nối CSDL – lô khác bị chặn, pool kết nối cạn khi nhiều người tải lên.</t>
        </is>
      </c>
      <c r="F2" s="31" t="inlineStr">
        <is>
          <t>Tách 4 pha: kiểm tra file ngoài transaction → transaction ngắn trừ chỗ đặt → ghi object storage không giữ khóa → transaction ngắn tạo document + job.</t>
        </is>
      </c>
      <c r="G2" s="31" t="inlineStr">
        <is>
          <t>Tech Lead</t>
        </is>
      </c>
      <c r="H2" s="31" t="inlineStr">
        <is>
          <t>Closed</t>
        </is>
      </c>
    </row>
    <row r="3">
      <c r="A3" s="31" t="inlineStr">
        <is>
          <t>B-DEF-002</t>
        </is>
      </c>
      <c r="B3" s="31" t="inlineStr">
        <is>
          <t>Low</t>
        </is>
      </c>
      <c r="C3" s="31" t="inlineStr">
        <is>
          <t>Algorithm View</t>
        </is>
      </c>
      <c r="D3" s="31" t="inlineStr">
        <is>
          <t>3.8 ALG-01</t>
        </is>
      </c>
      <c r="E3" s="31" t="inlineStr">
        <is>
          <t>File vượt dung lượng bị từ chối trước khi trừ chỗ đặt → chỗ bị giữ tới khi lô hết hạn (10 phút), làm hạn mức tạm thời sai.</t>
        </is>
      </c>
      <c r="F3" s="31" t="inlineStr">
        <is>
          <t>Mọi file (thành công hay bị từ chối, kể cả too_large) đều trừ 1 chỗ đặt.</t>
        </is>
      </c>
      <c r="G3" s="31" t="inlineStr">
        <is>
          <t>Tech Lead</t>
        </is>
      </c>
      <c r="H3" s="31" t="inlineStr">
        <is>
          <t>Closed</t>
        </is>
      </c>
    </row>
    <row r="4">
      <c r="A4" s="31" t="inlineStr">
        <is>
          <t>B-DEF-003</t>
        </is>
      </c>
      <c r="B4" s="31" t="inlineStr">
        <is>
          <t>Medium</t>
        </is>
      </c>
      <c r="C4" s="31" t="inlineStr">
        <is>
          <t>Algorithm View / Information View</t>
        </is>
      </c>
      <c r="D4" s="31" t="inlineStr">
        <is>
          <t>3.8 ALG-05; 3.2.3; schema.sql</t>
        </is>
      </c>
      <c r="E4" s="31" t="inlineStr">
        <is>
          <t>Truy xuất vector lọc tài liệu Sẵn sàng qua join với bảng document → planner có thể bỏ chỉ mục HNSW (quét tuần tự) khi số đoạn lớn, đe dọa NFR-001.</t>
        </is>
      </c>
      <c r="F4" s="31" t="inlineStr">
        <is>
          <t>Bất biến 'đoạn tồn tại ⇔ tài liệu READY và chưa xóa': xóa đoạn ngay trong transaction xóa mềm (ALG-12); truy xuất chỉ quét bảng chunk; purge chỉ còn xóa file gốc. Đồng bộ SAD.</t>
        </is>
      </c>
      <c r="G4" s="31" t="inlineStr">
        <is>
          <t>Tech Lead</t>
        </is>
      </c>
      <c r="H4" s="31" t="inlineStr">
        <is>
          <t>Closed</t>
        </is>
      </c>
    </row>
    <row r="5">
      <c r="A5" s="31" t="inlineStr">
        <is>
          <t>B-DEF-004</t>
        </is>
      </c>
      <c r="B5" s="31" t="inlineStr">
        <is>
          <t>Medium</t>
        </is>
      </c>
      <c r="C5" s="31" t="inlineStr">
        <is>
          <t>Information View</t>
        </is>
      </c>
      <c r="D5" s="31" t="inlineStr">
        <is>
          <t>3.8 ALG-10; schema.sql</t>
        </is>
      </c>
      <c r="E5" s="31" t="inlineStr">
        <is>
          <t>Lượt quét purge hằng giờ cần tìm tài liệu đã xóa ở mọi workspace nhưng app_worker bị RLS giới hạn theo workspace → không tìm được.</t>
        </is>
      </c>
      <c r="F5" s="31" t="inlineStr">
        <is>
          <t>Hàm SECURITY DEFINER pending_purges(), purge_lag_max_seconds() chỉ trả ID/số liệu; object mồ côi kiểm tra theo workspace lấy từ khóa object.</t>
        </is>
      </c>
      <c r="G5" s="31" t="inlineStr">
        <is>
          <t>Tech Lead</t>
        </is>
      </c>
      <c r="H5" s="31" t="inlineStr">
        <is>
          <t>Closed</t>
        </is>
      </c>
    </row>
    <row r="6">
      <c r="A6" s="31" t="inlineStr">
        <is>
          <t>B-DEF-005</t>
        </is>
      </c>
      <c r="B6" s="31" t="inlineStr">
        <is>
          <t>Low</t>
        </is>
      </c>
      <c r="C6" s="31" t="inlineStr">
        <is>
          <t>Algorithm View / Resource Allocation</t>
        </is>
      </c>
      <c r="D6" s="31" t="inlineStr">
        <is>
          <t>3.8 ALG-02; 4.2</t>
        </is>
      </c>
      <c r="E6" s="31" t="inlineStr">
        <is>
          <t>Semaphore sandbox 2/bản API không giới hạn thời gian chờ → giờ cao điểm request tải lên treo tới khi hết thời gian chờ HTTP.</t>
        </is>
      </c>
      <c r="F6" s="31" t="inlineStr">
        <is>
          <t>Chờ tối đa 30 s, quá → 503 server_busy + Retry-After; metric sandbox_queue_wait_seconds.</t>
        </is>
      </c>
      <c r="G6" s="31" t="inlineStr">
        <is>
          <t>Tech Lead</t>
        </is>
      </c>
      <c r="H6" s="31" t="inlineStr">
        <is>
          <t>Closed</t>
        </is>
      </c>
    </row>
    <row r="7">
      <c r="A7" s="31" t="inlineStr">
        <is>
          <t>B-DEF-006</t>
        </is>
      </c>
      <c r="B7" s="31" t="inlineStr">
        <is>
          <t>Low</t>
        </is>
      </c>
      <c r="C7" s="31" t="inlineStr">
        <is>
          <t>Logical View</t>
        </is>
      </c>
      <c r="D7" s="31" t="inlineStr">
        <is>
          <t>3.2</t>
        </is>
      </c>
      <c r="E7" s="31" t="inlineStr">
        <is>
          <t>Sơ đồ và interface dùng kiểu chưa định nghĩa: UploadBatch, IdTokenClaims, SessionContext, IngestOutcome, Conversation, Stream.</t>
        </is>
      </c>
      <c r="F7" s="31" t="inlineStr">
        <is>
          <t>Bổ sung định nghĩa kiểu.</t>
        </is>
      </c>
      <c r="G7" s="31" t="inlineStr">
        <is>
          <t>Tech Lead</t>
        </is>
      </c>
      <c r="H7" s="31" t="inlineStr">
        <is>
          <t>Closed</t>
        </is>
      </c>
    </row>
    <row r="8">
      <c r="A8" s="31" t="inlineStr">
        <is>
          <t>B-DEF-007</t>
        </is>
      </c>
      <c r="B8" s="31" t="inlineStr">
        <is>
          <t>Low</t>
        </is>
      </c>
      <c r="C8" s="31" t="inlineStr">
        <is>
          <t>Element Attributes</t>
        </is>
      </c>
      <c r="D8" s="31" t="inlineStr">
        <is>
          <t>4.2</t>
        </is>
      </c>
      <c r="E8" s="31" t="inlineStr">
        <is>
          <t>Bảng tài nguyên ghi 'DE-02 sandbox' – DE-02 là SPA chat; sandbox là DE-15.</t>
        </is>
      </c>
      <c r="F8" s="31" t="inlineStr">
        <is>
          <t>Sửa tham chiếu.</t>
        </is>
      </c>
      <c r="G8" s="31" t="inlineStr">
        <is>
          <t>Tech Lead</t>
        </is>
      </c>
      <c r="H8" s="31" t="inlineStr">
        <is>
          <t>Closed</t>
        </is>
      </c>
    </row>
    <row r="9">
      <c r="A9" s="31" t="inlineStr">
        <is>
          <t>B-DEF-008</t>
        </is>
      </c>
      <c r="B9" s="31" t="inlineStr">
        <is>
          <t>Low</t>
        </is>
      </c>
      <c r="C9" s="31" t="inlineStr">
        <is>
          <t>Design Concerns</t>
        </is>
      </c>
      <c r="D9" s="31" t="inlineStr">
        <is>
          <t>2.4, 2.5</t>
        </is>
      </c>
      <c r="E9" s="31" t="inlineStr">
        <is>
          <t>Trộn chuẩn: UX-02 ghi WCAG 2.1 AA nhưng vùng bấm dùng tiêu chí của WCAG 2.2.</t>
        </is>
      </c>
      <c r="F9" s="31" t="inlineStr">
        <is>
          <t>Thống nhất WCAG 2.2 AA.</t>
        </is>
      </c>
      <c r="G9" s="31" t="inlineStr">
        <is>
          <t>Designer</t>
        </is>
      </c>
      <c r="H9" s="31" t="inlineStr">
        <is>
          <t>Closed</t>
        </is>
      </c>
    </row>
    <row r="10">
      <c r="A10" s="31" t="inlineStr">
        <is>
          <t>B-DEF-009</t>
        </is>
      </c>
      <c r="B10" s="31" t="inlineStr">
        <is>
          <t>Low</t>
        </is>
      </c>
      <c r="C10" s="31" t="inlineStr">
        <is>
          <t>Stakeholder Identification</t>
        </is>
      </c>
      <c r="D10" s="31" t="inlineStr">
        <is>
          <t>2.2 CN-16</t>
        </is>
      </c>
      <c r="E10" s="31" t="inlineStr">
        <is>
          <t>Nhãn stakeholder 'Nhà cung cấp/ PO' không khớp danh sách 2.1.</t>
        </is>
      </c>
      <c r="F10" s="31" t="inlineStr">
        <is>
          <t>Đổi thành 'PO, Tech Lead'.</t>
        </is>
      </c>
      <c r="G10" s="31" t="inlineStr">
        <is>
          <t>Tech Lead</t>
        </is>
      </c>
      <c r="H10" s="31" t="inlineStr">
        <is>
          <t>Closed</t>
        </is>
      </c>
    </row>
    <row r="11">
      <c r="A11" s="31" t="inlineStr">
        <is>
          <t>B-DEF-010</t>
        </is>
      </c>
      <c r="B11" s="31" t="inlineStr">
        <is>
          <t>Low</t>
        </is>
      </c>
      <c r="C11" s="31" t="inlineStr">
        <is>
          <t>Information View</t>
        </is>
      </c>
      <c r="D11" s="31" t="inlineStr">
        <is>
          <t>schema.sql</t>
        </is>
      </c>
      <c r="E11" s="31" t="inlineStr">
        <is>
          <t>Unique index membership_one_personal_ws (user_id WHERE role='owner') chặn người dùng làm owner của workspace dùng chung sau này – mâu thuẫn ADR-012.</t>
        </is>
      </c>
      <c r="F11" s="31" t="inlineStr">
        <is>
          <t>Bỏ index; thêm workspace.personal_owner_id UNIQUE + CHECK theo kind.</t>
        </is>
      </c>
      <c r="G11" s="31" t="inlineStr">
        <is>
          <t>Tech Lead</t>
        </is>
      </c>
      <c r="H11" s="31" t="inlineStr">
        <is>
          <t>Closed</t>
        </is>
      </c>
    </row>
    <row r="12">
      <c r="A12" s="31" t="inlineStr">
        <is>
          <t>B-DEF-011</t>
        </is>
      </c>
      <c r="B12" s="31" t="inlineStr">
        <is>
          <t>Low</t>
        </is>
      </c>
      <c r="C12" s="31" t="inlineStr">
        <is>
          <t>Completeness Check</t>
        </is>
      </c>
      <c r="D12" s="31" t="inlineStr">
        <is>
          <t>SAD 3.2, 5.3, 6.1, 7.3, 8.1</t>
        </is>
      </c>
      <c r="E12" s="31" t="inlineStr">
        <is>
          <t>Blueprint thêm/đổi so với SAD v0.2: xóa đoạn khi xóa mềm, mã lỗi mới, rate limit bằng PostgreSQL, vai trò app_readonly_audit – SAD chưa phản ánh.</t>
        </is>
      </c>
      <c r="F12" s="31" t="inlineStr">
        <is>
          <t>Cập nhật SAD lên v0.3.</t>
        </is>
      </c>
      <c r="G12" s="31" t="inlineStr">
        <is>
          <t>Architect</t>
        </is>
      </c>
      <c r="H12" s="31" t="inlineStr">
        <is>
          <t>Closed</t>
        </is>
      </c>
    </row>
    <row r="13">
      <c r="A13" s="31" t="inlineStr">
        <is>
          <t>B-DEF-012</t>
        </is>
      </c>
      <c r="B13" s="31" t="inlineStr">
        <is>
          <t>Medium</t>
        </is>
      </c>
      <c r="C13" s="31" t="inlineStr">
        <is>
          <t>Completeness Check</t>
        </is>
      </c>
      <c r="D13" s="31" t="inlineStr">
        <is>
          <t>6.3</t>
        </is>
      </c>
      <c r="E13" s="31" t="inlineStr">
        <is>
          <t>Còn quyết định bên ngoài ảnh hưởng thiết kế: nhà cung cấp LLM và cơ chế structured output (OQ-005), vùng dữ liệu (OQ-203), sao lưu – xóa (OQ-202), ngưỡng D-01…D-13; US-015/019/022 thiết kế một phần.</t>
        </is>
      </c>
      <c r="F13" s="31" t="inlineStr">
        <is>
          <t>PO, IT/Security, Sponsor chốt các OQ; cập nhật LlmAdapter, cấu hình và phần thiết kế còn thiếu.</t>
        </is>
      </c>
      <c r="G13" s="31" t="inlineStr">
        <is>
          <t>PO + IT/Security</t>
        </is>
      </c>
      <c r="H13" s="31" t="inlineStr">
        <is>
          <t>Open</t>
        </is>
      </c>
    </row>
    <row r="14">
      <c r="A14" s="31" t="inlineStr">
        <is>
          <t>B-DEF-013</t>
        </is>
      </c>
      <c r="B14" s="31" t="inlineStr">
        <is>
          <t>Medium</t>
        </is>
      </c>
      <c r="C14" s="31" t="inlineStr">
        <is>
          <t>Assumptions &amp; Constraints / Resource Allocation</t>
        </is>
      </c>
      <c r="D14" s="31" t="inlineStr">
        <is>
          <t>1.3; 4.2; 5.3</t>
        </is>
      </c>
      <c r="E14" s="31" t="inlineStr">
        <is>
          <t>Các giả định quyết định tài nguyên và tham số thuật toán chưa kiểm chứng: thông lượng embedding CPU, chất lượng trích văn bản pypdf, độ trễ/chất lượng LLM tiếng Việt, ngưỡng τ.</t>
        </is>
      </c>
      <c r="F14" s="31" t="inlineStr">
        <is>
          <t>Chạy SPIKE-01…SPIKE-04; cập nhật 4.2 và mục 3.6.6 theo kết quả.</t>
        </is>
      </c>
      <c r="G14" s="31" t="inlineStr">
        <is>
          <t>Tech Lead</t>
        </is>
      </c>
      <c r="H14" s="31" t="inlineStr">
        <is>
          <t>Open</t>
        </is>
      </c>
    </row>
  </sheetData>
  <conditionalFormatting sqref="B2:B14">
    <cfRule type="cellIs" priority="1" operator="equal" dxfId="11">
      <formula>"High"</formula>
    </cfRule>
    <cfRule type="cellIs" priority="2" operator="equal" dxfId="10">
      <formula>"Medium"</formula>
    </cfRule>
  </conditionalFormatting>
  <dataValidations count="2">
    <dataValidation sqref="B2:B14" showDropDown="0" showInputMessage="0" showErrorMessage="0" allowBlank="1" type="list">
      <formula1>"High,Medium,Low"</formula1>
    </dataValidation>
    <dataValidation sqref="H2:H14" showDropDown="0" showInputMessage="0" showErrorMessage="0" allowBlank="1" type="list">
      <formula1>"Open,In Progress,Closed"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2026-07-15T02:51:13Z</dcterms:created>
  <dcterms:modified xsi:type="dcterms:W3CDTF">2026-10-24T14:33:50Z</dcterms:modified>
  <cp:revision>1</cp:revision>
</cp:coreProperties>
</file>