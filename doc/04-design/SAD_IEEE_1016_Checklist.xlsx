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ổng hợp" sheetId="1" state="visible" r:id="rId1"/>
    <sheet name="IEEE 1016 SAD Checklist" sheetId="2" state="visible" r:id="rId2"/>
    <sheet name="Phát hiện chi tiết" sheetId="3" state="visible" r:id="rId3"/>
  </sheets>
  <definedNames>
    <definedName name="_xlnm._FilterDatabase" localSheetId="1" hidden="1">'IEEE 1016 SAD Checklist'!$A$1:$E$17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2"/>
    </font>
    <font>
      <name val="Calibri"/>
      <sz val="11"/>
    </font>
    <font>
      <name val="Calibri"/>
      <b val="1"/>
      <sz val="11"/>
    </font>
    <font>
      <name val="Calibri"/>
      <b val="1"/>
      <sz val="14"/>
    </font>
    <font>
      <name val="Calibri"/>
      <b val="1"/>
    </font>
    <font>
      <name val="Calibri"/>
    </font>
  </fonts>
  <fills count="5">
    <fill>
      <patternFill/>
    </fill>
    <fill>
      <patternFill patternType="gray125"/>
    </fill>
    <fill>
      <patternFill patternType="solid">
        <fgColor rgb="FF2C3E50"/>
        <bgColor rgb="FF333399"/>
      </patternFill>
    </fill>
    <fill>
      <patternFill patternType="solid">
        <fgColor rgb="FFEAEDED"/>
        <bgColor rgb="FFFFFFFF"/>
      </patternFill>
    </fill>
    <fill>
      <patternFill patternType="solid">
        <fgColor rgb="FFFFFFFF"/>
        <bgColor rgb="FFEAEDED"/>
      </patternFill>
    </fill>
  </fills>
  <borders count="6">
    <border>
      <left/>
      <right/>
      <top/>
      <bottom/>
      <diagonal/>
    </border>
    <border>
      <left style="thin">
        <color rgb="FFBDC3C7"/>
      </left>
      <right style="thin">
        <color rgb="FFBDC3C7"/>
      </right>
      <top style="thin">
        <color rgb="FFBDC3C7"/>
      </top>
      <bottom style="thin">
        <color rgb="FFBDC3C7"/>
      </bottom>
      <diagonal/>
    </border>
    <border>
      <left style="thin">
        <color rgb="FFBDC3C7"/>
      </left>
      <right/>
      <top/>
      <bottom/>
      <diagonal/>
    </border>
    <border>
      <left style="thin">
        <color rgb="FFBDC3C7"/>
      </left>
      <right style="thin">
        <color rgb="FFBDC3C7"/>
      </right>
      <top/>
      <bottom/>
      <diagonal/>
    </border>
    <border>
      <left style="thin">
        <color rgb="FFBDC3C7"/>
      </left>
      <right style="thin">
        <color rgb="FFBDC3C7"/>
      </right>
      <top/>
      <bottom style="thin">
        <color rgb="FFBDC3C7"/>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center"/>
    </xf>
    <xf numFmtId="0" fontId="4" fillId="2" borderId="1" applyAlignment="1" pivotButton="0" quotePrefix="0" xfId="0">
      <alignment horizontal="center" vertical="center"/>
    </xf>
    <xf numFmtId="0" fontId="0" fillId="3" borderId="1" applyAlignment="1" pivotButton="0" quotePrefix="0" xfId="0">
      <alignment horizontal="general" vertical="center" wrapText="1"/>
    </xf>
    <xf numFmtId="0" fontId="0" fillId="3" borderId="1" applyAlignment="1" pivotButton="0" quotePrefix="0" xfId="0">
      <alignment horizontal="center" vertical="center"/>
    </xf>
    <xf numFmtId="0" fontId="0" fillId="4" borderId="1" applyAlignment="1" pivotButton="0" quotePrefix="0" xfId="0">
      <alignment horizontal="general" vertical="center" wrapText="1"/>
    </xf>
    <xf numFmtId="0" fontId="0" fillId="4" borderId="1" applyAlignment="1" pivotButton="0" quotePrefix="0" xfId="0">
      <alignment horizontal="center" vertical="center"/>
    </xf>
    <xf numFmtId="0" fontId="0" fillId="0" borderId="0" pivotButton="0" quotePrefix="0" xfId="0"/>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4" fillId="2" borderId="0" applyAlignment="1" pivotButton="0" quotePrefix="0" xfId="0">
      <alignment vertical="top" wrapText="1"/>
    </xf>
    <xf numFmtId="164" fontId="9" fillId="0" borderId="0" applyAlignment="1" pivotButton="0" quotePrefix="0" xfId="0">
      <alignment vertical="top" wrapText="1"/>
    </xf>
    <xf numFmtId="164" fontId="8" fillId="0" borderId="0" applyAlignment="1" pivotButton="0" quotePrefix="0" xfId="0">
      <alignment vertical="top" wrapText="1"/>
    </xf>
    <xf numFmtId="0" fontId="0" fillId="0" borderId="0" applyAlignment="1" pivotButton="0" quotePrefix="0" xfId="0">
      <alignment horizontal="general" vertical="center"/>
    </xf>
    <xf numFmtId="0" fontId="4" fillId="2" borderId="1" applyAlignment="1" pivotButton="0" quotePrefix="0" xfId="0">
      <alignment horizontal="center" vertical="center"/>
    </xf>
    <xf numFmtId="0" fontId="4" fillId="2" borderId="1" applyAlignment="1" pivotButton="0" quotePrefix="0" xfId="0">
      <alignment horizontal="center" vertical="center"/>
    </xf>
    <xf numFmtId="0" fontId="0" fillId="3" borderId="1" applyAlignment="1" pivotButton="0" quotePrefix="0" xfId="0">
      <alignment horizontal="general" vertical="center" wrapText="1"/>
    </xf>
    <xf numFmtId="0" fontId="0" fillId="3" borderId="1" applyAlignment="1" pivotButton="0" quotePrefix="0" xfId="0">
      <alignment horizontal="center" vertical="center"/>
    </xf>
    <xf numFmtId="0" fontId="5" fillId="3"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0" fillId="0" borderId="4" pivotButton="0" quotePrefix="0" xfId="0"/>
    <xf numFmtId="0" fontId="0" fillId="4" borderId="1" applyAlignment="1" pivotButton="0" quotePrefix="0" xfId="0">
      <alignment horizontal="general" vertical="center" wrapText="1"/>
    </xf>
    <xf numFmtId="0" fontId="0" fillId="4" borderId="1" applyAlignment="1" pivotButton="0" quotePrefix="0" xfId="0">
      <alignment horizontal="center" vertical="center"/>
    </xf>
    <xf numFmtId="0" fontId="5" fillId="4" borderId="1" applyAlignment="1" pivotButton="0" quotePrefix="0" xfId="0">
      <alignment vertical="top" wrapText="1"/>
    </xf>
    <xf numFmtId="0" fontId="0" fillId="0" borderId="3" pivotButton="0" quotePrefix="0" xfId="0"/>
    <xf numFmtId="0" fontId="4" fillId="2" borderId="5" applyAlignment="1" pivotButton="0" quotePrefix="0" xfId="0">
      <alignment horizontal="center" vertical="center" wrapText="1"/>
    </xf>
    <xf numFmtId="0" fontId="5" fillId="0" borderId="5"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2C3E50"/>
          <bgColor rgb="FF000000"/>
        </patternFill>
      </fill>
    </dxf>
    <dxf>
      <fill>
        <patternFill patternType="solid">
          <fgColor rgb="FFEAEDE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74C3C"/>
          <bgColor rgb="FF000000"/>
        </patternFill>
      </fill>
    </dxf>
    <dxf>
      <font>
        <b val="1"/>
        <color rgb="FFFFFFFF"/>
      </font>
      <fill>
        <patternFill>
          <bgColor rgb="FF27AE60"/>
        </patternFill>
      </fill>
    </dxf>
    <dxf>
      <font>
        <b val="1"/>
        <color rgb="FF2C3E50"/>
      </font>
      <fill>
        <patternFill>
          <bgColor rgb="FFF1C40F"/>
        </patternFill>
      </fill>
    </dxf>
    <dxf>
      <font>
        <b val="1"/>
        <color rgb="FFFFFFFF"/>
      </font>
      <fill>
        <patternFill>
          <bgColor rgb="FFE74C3C"/>
        </patternFill>
      </fill>
    </dxf>
    <dxf>
      <font>
        <b val="1"/>
        <color rgb="FFFFFFFF"/>
      </font>
      <fill>
        <patternFill>
          <bgColor rgb="FF95A5A6"/>
        </patternFill>
      </fill>
    </dxf>
    <dxf>
      <fill>
        <patternFill patternType="solid">
          <fgColor rgb="00D5F5E3"/>
        </patternFill>
      </fill>
    </dxf>
    <dxf>
      <fill>
        <patternFill patternType="solid">
          <fgColor rgb="00FCF3CF"/>
        </patternFill>
      </fill>
    </dxf>
    <dxf>
      <fill>
        <patternFill patternType="solid">
          <fgColor rgb="00FADBD8"/>
        </patternFill>
      </fill>
    </dxf>
    <dxf>
      <fill>
        <patternFill patternType="solid">
          <fgColor rgb="00EAEC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EA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74C3C"/>
      <rgbColor rgb="FF666699"/>
      <rgbColor rgb="FF95A5A6"/>
      <rgbColor rgb="FF003366"/>
      <rgbColor rgb="FF27AE60"/>
      <rgbColor rgb="FF003300"/>
      <rgbColor rgb="FF333300"/>
      <rgbColor rgb="FF993300"/>
      <rgbColor rgb="FF993366"/>
      <rgbColor rgb="FF333399"/>
      <rgbColor rgb="FF2C3E5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0" customWidth="1" style="7" min="1" max="1"/>
    <col width="80" customWidth="1" style="7" min="2" max="2"/>
    <col width="14" customWidth="1" style="7" min="3" max="3"/>
  </cols>
  <sheetData>
    <row r="1">
      <c r="A1" s="8" t="inlineStr">
        <is>
          <t>Kết quả review SAD theo checklist IEEE 1016</t>
        </is>
      </c>
    </row>
    <row r="3">
      <c r="A3" s="9" t="inlineStr">
        <is>
          <t>Tài liệu được review</t>
        </is>
      </c>
      <c r="B3" s="10" t="inlineStr">
        <is>
          <t>doc/04-design/SAD.md – SAD-AICHAT-001</t>
        </is>
      </c>
      <c r="C3" s="10" t="n"/>
    </row>
    <row r="4">
      <c r="A4" s="9" t="inlineStr">
        <is>
          <t>Phiên bản SAD</t>
        </is>
      </c>
      <c r="B4" s="10" t="inlineStr">
        <is>
          <t>0.2 (Draft) – đã sửa 13 lỗi thiết kế; 1 đang xử lý; 3 chờ quyết định</t>
        </is>
      </c>
      <c r="C4" s="10" t="n"/>
    </row>
    <row r="5">
      <c r="A5" s="9" t="inlineStr">
        <is>
          <t>Tài liệu gốc</t>
        </is>
      </c>
      <c r="B5" s="10" t="inlineStr">
        <is>
          <t>BRD v0.2, PRD v0.2, USER_STORIES v0.1</t>
        </is>
      </c>
      <c r="C5" s="10" t="n"/>
    </row>
    <row r="6">
      <c r="A6" s="9" t="inlineStr">
        <is>
          <t>Checklist</t>
        </is>
      </c>
      <c r="B6" s="10" t="inlineStr">
        <is>
          <t>doc/templates/SAD_IEEE_1016_Checklist.xlsx</t>
        </is>
      </c>
      <c r="C6" s="10" t="n"/>
    </row>
    <row r="7">
      <c r="A7" s="9" t="inlineStr">
        <is>
          <t>Ngày review</t>
        </is>
      </c>
      <c r="B7" s="10" t="inlineStr">
        <is>
          <t>2026-10-24</t>
        </is>
      </c>
      <c r="C7" s="10" t="n"/>
    </row>
    <row r="8">
      <c r="A8" s="9" t="inlineStr">
        <is>
          <t>Người review</t>
        </is>
      </c>
      <c r="B8" s="10" t="inlineStr">
        <is>
          <t>Claude (AI review) – SAD do chính Claude soạn, cần Tech Lead/IT-Security xác nhận</t>
        </is>
      </c>
      <c r="C8" s="10" t="n"/>
    </row>
    <row r="9">
      <c r="A9" s="10" t="n"/>
      <c r="B9" s="10" t="n"/>
      <c r="C9" s="10" t="n"/>
    </row>
    <row r="10">
      <c r="A10" s="11" t="inlineStr">
        <is>
          <t>Kết quả đánh giá</t>
        </is>
      </c>
      <c r="B10" s="11" t="inlineStr">
        <is>
          <t>Số tiêu chí</t>
        </is>
      </c>
      <c r="C10" s="11" t="inlineStr">
        <is>
          <t>Tỷ lệ</t>
        </is>
      </c>
    </row>
    <row r="11">
      <c r="A11" s="10" t="inlineStr">
        <is>
          <t>Đạt</t>
        </is>
      </c>
      <c r="B11" s="10">
        <f>COUNTIF('IEEE 1016 SAD Checklist'!$F$2:$F$17,A11)</f>
        <v/>
      </c>
      <c r="C11" s="12">
        <f>IF($B$15=0,0,B11/$B$15)</f>
        <v/>
      </c>
    </row>
    <row r="12">
      <c r="A12" s="10" t="inlineStr">
        <is>
          <t>Đạt một phần</t>
        </is>
      </c>
      <c r="B12" s="10">
        <f>COUNTIF('IEEE 1016 SAD Checklist'!$F$2:$F$17,A12)</f>
        <v/>
      </c>
      <c r="C12" s="12">
        <f>IF($B$15=0,0,B12/$B$15)</f>
        <v/>
      </c>
    </row>
    <row r="13">
      <c r="A13" s="10" t="inlineStr">
        <is>
          <t>Chưa đạt</t>
        </is>
      </c>
      <c r="B13" s="10">
        <f>COUNTIF('IEEE 1016 SAD Checklist'!$F$2:$F$17,A13)</f>
        <v/>
      </c>
      <c r="C13" s="12">
        <f>IF($B$15=0,0,B13/$B$15)</f>
        <v/>
      </c>
    </row>
    <row r="14">
      <c r="A14" s="10" t="inlineStr">
        <is>
          <t>Không áp dụng</t>
        </is>
      </c>
      <c r="B14" s="10">
        <f>COUNTIF('IEEE 1016 SAD Checklist'!$F$2:$F$17,A14)</f>
        <v/>
      </c>
      <c r="C14" s="12">
        <f>IF($B$15=0,0,B14/$B$15)</f>
        <v/>
      </c>
    </row>
    <row r="15">
      <c r="A15" s="9" t="inlineStr">
        <is>
          <t>Tổng</t>
        </is>
      </c>
      <c r="B15" s="9">
        <f>SUM(B11:B14)</f>
        <v/>
      </c>
      <c r="C15" s="13">
        <f>SUM(C11:C14)</f>
        <v/>
      </c>
    </row>
    <row r="16">
      <c r="A16" s="10" t="n"/>
      <c r="B16" s="10" t="n"/>
      <c r="C16" s="10" t="n"/>
    </row>
    <row r="17">
      <c r="A17" s="11" t="inlineStr">
        <is>
          <t>Status (theo template)</t>
        </is>
      </c>
      <c r="B17" s="11" t="inlineStr">
        <is>
          <t>Số tiêu chí</t>
        </is>
      </c>
      <c r="C17" s="10" t="n"/>
    </row>
    <row r="18">
      <c r="A18" s="10" t="inlineStr">
        <is>
          <t>Done</t>
        </is>
      </c>
      <c r="B18" s="10">
        <f>COUNTIF('IEEE 1016 SAD Checklist'!$D$2:$D$17,A18)</f>
        <v/>
      </c>
      <c r="C18" s="10" t="n"/>
    </row>
    <row r="19">
      <c r="A19" s="10" t="inlineStr">
        <is>
          <t>In Progress</t>
        </is>
      </c>
      <c r="B19" s="10">
        <f>COUNTIF('IEEE 1016 SAD Checklist'!$D$2:$D$17,A19)</f>
        <v/>
      </c>
      <c r="C19" s="10" t="n"/>
    </row>
    <row r="20">
      <c r="A20" s="10" t="inlineStr">
        <is>
          <t>Pending</t>
        </is>
      </c>
      <c r="B20" s="10">
        <f>COUNTIF('IEEE 1016 SAD Checklist'!$D$2:$D$17,A20)</f>
        <v/>
      </c>
      <c r="C20" s="10" t="n"/>
    </row>
    <row r="21">
      <c r="A21" s="10" t="inlineStr">
        <is>
          <t>N/A</t>
        </is>
      </c>
      <c r="B21" s="10">
        <f>COUNTIF('IEEE 1016 SAD Checklist'!$D$2:$D$17,A21)</f>
        <v/>
      </c>
      <c r="C21" s="10" t="n"/>
    </row>
    <row r="22">
      <c r="A22" s="10" t="n"/>
      <c r="B22" s="10" t="n"/>
      <c r="C22" s="10" t="n"/>
    </row>
    <row r="23">
      <c r="A23" s="11" t="inlineStr">
        <is>
          <t>Mức độ phát hiện</t>
        </is>
      </c>
      <c r="B23" s="11" t="inlineStr">
        <is>
          <t>Tổng</t>
        </is>
      </c>
      <c r="C23" s="11" t="inlineStr">
        <is>
          <t>Còn mở</t>
        </is>
      </c>
    </row>
    <row r="24">
      <c r="A24" s="10" t="inlineStr">
        <is>
          <t>High</t>
        </is>
      </c>
      <c r="B24" s="10">
        <f>COUNTIF('Phát hiện chi tiết'!$B$2:$B$18,A24)</f>
        <v/>
      </c>
      <c r="C24" s="10">
        <f>COUNTIFS('Phát hiện chi tiết'!$B$2:$B$18,A24,'Phát hiện chi tiết'!$H$2:$H$18,"&lt;&gt;Closed")</f>
        <v/>
      </c>
    </row>
    <row r="25">
      <c r="A25" s="10" t="inlineStr">
        <is>
          <t>Medium</t>
        </is>
      </c>
      <c r="B25" s="10">
        <f>COUNTIF('Phát hiện chi tiết'!$B$2:$B$18,A25)</f>
        <v/>
      </c>
      <c r="C25" s="10">
        <f>COUNTIFS('Phát hiện chi tiết'!$B$2:$B$18,A25,'Phát hiện chi tiết'!$H$2:$H$18,"&lt;&gt;Closed")</f>
        <v/>
      </c>
    </row>
    <row r="26">
      <c r="A26" s="10" t="inlineStr">
        <is>
          <t>Low</t>
        </is>
      </c>
      <c r="B26" s="10">
        <f>COUNTIF('Phát hiện chi tiết'!$B$2:$B$18,A26)</f>
        <v/>
      </c>
      <c r="C26" s="10">
        <f>COUNTIFS('Phát hiện chi tiết'!$B$2:$B$18,A26,'Phát hiện chi tiết'!$H$2:$H$18,"&lt;&gt;Closed")</f>
        <v/>
      </c>
    </row>
    <row r="27">
      <c r="A27" s="10" t="n"/>
      <c r="B27" s="10" t="n"/>
      <c r="C27" s="10" t="n"/>
    </row>
    <row r="28">
      <c r="A28" s="9" t="inlineStr">
        <is>
          <t>Kết luận</t>
        </is>
      </c>
      <c r="B28" s="10">
        <f>IF(AND(B13=0,C24=0),"Sẵn sàng duyệt kiến trúc","Chưa sẵn sàng duyệt – còn tiêu chí Chưa đạt hoặc phát hiện High đang mở")</f>
        <v/>
      </c>
      <c r="C28" s="10" t="n"/>
    </row>
    <row r="29">
      <c r="A29" s="9" t="inlineStr">
        <is>
          <t>Nhận xét</t>
        </is>
      </c>
      <c r="B29" s="10" t="inlineStr">
        <is>
          <t>SAD v0.2 đủ các góc nhìn IEEE 1016: đã đóng cả 2 lỗi High (RLS cho bảng hội thoại, race khi xóa tài liệu đang xử lý) và 11 lỗi thiết kế khác. Còn lại cần quyết định bên ngoài: ràng buộc pháp lý và vùng dữ liệu (S-DEF-012), xung đột sao lưu với xóa ≤ 24 h (S-DEF-015), đơn giá LLM (S-DEF-016), và tách ADR thành file khi được duyệt (S-DEF-014). Kiến trúc sẵn sàng để Tech Lead và IT/Security duyệt.</t>
        </is>
      </c>
      <c r="C29" s="10" t="n"/>
    </row>
    <row r="30">
      <c r="A30" s="10" t="n"/>
      <c r="B30" s="10" t="n"/>
      <c r="C30" s="10" t="n"/>
    </row>
    <row r="31">
      <c r="A31" s="9" t="inlineStr">
        <is>
          <t>Quy ước</t>
        </is>
      </c>
      <c r="B31" s="10" t="n"/>
      <c r="C31" s="10" t="n"/>
    </row>
    <row r="32">
      <c r="A32" s="10" t="inlineStr">
        <is>
          <t>Đạt → Done</t>
        </is>
      </c>
      <c r="B32" s="10" t="inlineStr">
        <is>
          <t>Tiêu chí được đáp ứng, không cần hành động bắt buộc.</t>
        </is>
      </c>
      <c r="C32" s="10" t="n"/>
    </row>
    <row r="33">
      <c r="A33" s="10" t="inlineStr">
        <is>
          <t>Đạt một phần → In Progress</t>
        </is>
      </c>
      <c r="B33" s="10" t="inlineStr">
        <is>
          <t>Đã có nội dung nhưng còn thiếu hoặc có lỗi; xem cột Notes / Action Items.</t>
        </is>
      </c>
      <c r="C33" s="10" t="n"/>
    </row>
    <row r="34">
      <c r="A34" s="10" t="inlineStr">
        <is>
          <t>Chưa đạt → Pending</t>
        </is>
      </c>
      <c r="B34" s="10" t="inlineStr">
        <is>
          <t>Nội dung chưa có hoặc chưa dùng được.</t>
        </is>
      </c>
      <c r="C34" s="10" t="n"/>
    </row>
    <row r="35">
      <c r="A35" s="10" t="inlineStr">
        <is>
          <t>Không áp dụng → N/A</t>
        </is>
      </c>
      <c r="B35" s="10" t="inlineStr">
        <is>
          <t>Tiêu chí không liên quan.</t>
        </is>
      </c>
      <c r="C35" s="10" t="n"/>
    </row>
    <row r="36">
      <c r="A36" s="10" t="inlineStr">
        <is>
          <t>Cột cần cập nhật khi xử lý</t>
        </is>
      </c>
      <c r="B36" s="10" t="inlineStr">
        <is>
          <t>Sheet checklist: cột D, E, F. Sheet 'Phát hiện chi tiết': cột H (Open / In Progress / Closed).</t>
        </is>
      </c>
      <c r="C36" s="10" t="n"/>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Right"/>
      <selection pane="bottomLeft"/>
      <selection pane="bottomRight" activeCell="A1" activeCellId="0" sqref="A1"/>
      <selection pane="bottomLeft" activeCell="C20" activeCellId="0" sqref="C20"/>
    </sheetView>
  </sheetViews>
  <sheetFormatPr baseColWidth="8" defaultColWidth="8.6796875" defaultRowHeight="15" customHeight="0" zeroHeight="0" outlineLevelRow="0"/>
  <cols>
    <col width="30" customWidth="1" style="14" min="1" max="1"/>
    <col width="25" customWidth="1" style="14" min="2" max="2"/>
    <col width="65" customWidth="1" style="14" min="3" max="3"/>
    <col width="15" customWidth="1" style="14" min="4" max="4"/>
    <col width="75" customWidth="1" style="14" min="5" max="5"/>
    <col width="18" customWidth="1" style="14" min="6" max="16384"/>
    <col width="26" customWidth="1" style="7" min="7" max="7"/>
  </cols>
  <sheetData>
    <row r="1" ht="15" customHeight="1" s="7">
      <c r="A1" s="15" t="inlineStr">
        <is>
          <t>Category</t>
        </is>
      </c>
      <c r="B1" s="15" t="inlineStr">
        <is>
          <t>Checklist Item</t>
        </is>
      </c>
      <c r="C1" s="15" t="inlineStr">
        <is>
          <t>Description / Question</t>
        </is>
      </c>
      <c r="D1" s="15" t="inlineStr">
        <is>
          <t>Status</t>
        </is>
      </c>
      <c r="E1" s="15" t="inlineStr">
        <is>
          <t>Notes / Action Items</t>
        </is>
      </c>
      <c r="F1" s="16" t="inlineStr">
        <is>
          <t>Kết quả đánh giá</t>
        </is>
      </c>
      <c r="G1" s="16" t="inlineStr">
        <is>
          <t>Tham chiếu trong SAD</t>
        </is>
      </c>
    </row>
    <row r="2" ht="28.35" customHeight="1" s="7">
      <c r="A2" s="17" t="inlineStr">
        <is>
          <t>1. Architecture Context</t>
        </is>
      </c>
      <c r="B2" s="17" t="inlineStr">
        <is>
          <t>Scope &amp; Boundary</t>
        </is>
      </c>
      <c r="C2" s="17" t="inlineStr">
        <is>
          <t>Is the boundary of the architecture clearly defined, separating the system from external entities?</t>
        </is>
      </c>
      <c r="D2" s="18" t="inlineStr">
        <is>
          <t>Done</t>
        </is>
      </c>
      <c r="E2" s="19" t="inlineStr">
        <is>
          <t>Ranh giới hệ thống rõ (mục 2): hệ thống gồm web, API, worker, embedding service, PostgreSQL, object storage; bên ngoài gồm IdP, dịch vụ LLM, hạ tầng giám sát. Có danh sách 'ngoài ranh giới'.</t>
        </is>
      </c>
      <c r="F2" s="20" t="inlineStr">
        <is>
          <t>Đạt</t>
        </is>
      </c>
      <c r="G2" s="21" t="inlineStr">
        <is>
          <t>2</t>
        </is>
      </c>
    </row>
    <row r="3" ht="28.35" customHeight="1" s="7">
      <c r="A3" s="22" t="n"/>
      <c r="B3" s="23" t="inlineStr">
        <is>
          <t>Context View</t>
        </is>
      </c>
      <c r="C3" s="23" t="inlineStr">
        <is>
          <t>Does the view describe the services provided by the system and the services required from its environment?</t>
        </is>
      </c>
      <c r="D3" s="24" t="inlineStr">
        <is>
          <t>Done</t>
        </is>
      </c>
      <c r="E3" s="25" t="inlineStr">
        <is>
          <t>Sơ đồ bối cảnh + dịch vụ hệ thống cung cấp và bảng dịch vụ cần từ môi trường kèm trạng thái phụ thuộc OQ.</t>
        </is>
      </c>
      <c r="F3" s="20" t="inlineStr">
        <is>
          <t>Đạt</t>
        </is>
      </c>
      <c r="G3" s="21" t="inlineStr">
        <is>
          <t>2</t>
        </is>
      </c>
    </row>
    <row r="4" ht="28.35" customHeight="1" s="7">
      <c r="A4" s="23" t="inlineStr">
        <is>
          <t>2. Stakeholders &amp; Concerns</t>
        </is>
      </c>
      <c r="B4" s="17" t="inlineStr">
        <is>
          <t>Architectural Drivers</t>
        </is>
      </c>
      <c r="C4" s="17" t="inlineStr">
        <is>
          <t>Are the key non-functional requirements (e.g., scalability, security, high availability) driving the architecture documented?</t>
        </is>
      </c>
      <c r="D4" s="18" t="inlineStr">
        <is>
          <t>Done</t>
        </is>
      </c>
      <c r="E4" s="19" t="inlineStr">
        <is>
          <t>3 động lực chính (D1 câu trả lời có căn cứ, D2 cách ly dữ liệu, D3 đơn giản để ra mắt nhanh) có lý do và cách thiết kế ưu tiên; hiệu năng là động lực thứ 4 (7.4). [v0.2] Thêm ước tính lưu lượng token/tháng (4.3); đơn giá còn chờ chọn nhà cung cấp – S-DEF-016 In Progress.</t>
        </is>
      </c>
      <c r="F4" s="20" t="inlineStr">
        <is>
          <t>Đạt</t>
        </is>
      </c>
      <c r="G4" s="21" t="inlineStr">
        <is>
          <t>0, 1.1, 4.3, 7.4</t>
        </is>
      </c>
    </row>
    <row r="5" ht="28.35" customHeight="1" s="7">
      <c r="A5" s="22" t="n"/>
      <c r="B5" s="23" t="inlineStr">
        <is>
          <t>System Constraints</t>
        </is>
      </c>
      <c r="C5" s="23" t="inlineStr">
        <is>
          <t>Are technology mandates, enterprise standards, and regulatory compliance requirements clearly stated?</t>
        </is>
      </c>
      <c r="D5" s="24" t="inlineStr">
        <is>
          <t>In Progress</t>
        </is>
      </c>
      <c r="E5" s="25" t="inlineStr">
        <is>
          <t>Ràng buộc kỹ thuật C-1…C-11 truy về CON/NFR; không có mandate công nghệ. Còn thiếu: tuân thủ pháp lý (OQ-203, BRD DEF-002) và chuẩn doanh nghiệp (OQ-204, OQ-205) – S-DEF-012, chờ IT/Security + Pháp chế.</t>
        </is>
      </c>
      <c r="F5" s="20" t="inlineStr">
        <is>
          <t>Đạt một phần</t>
        </is>
      </c>
      <c r="G5" s="21" t="inlineStr">
        <is>
          <t>0; 8.1; 14</t>
        </is>
      </c>
    </row>
    <row r="6" ht="28.35" customHeight="1" s="7">
      <c r="A6" s="17" t="inlineStr">
        <is>
          <t>3. Structural Viewpoints</t>
        </is>
      </c>
      <c r="B6" s="17" t="inlineStr">
        <is>
          <t>Composition View</t>
        </is>
      </c>
      <c r="C6" s="17" t="inlineStr">
        <is>
          <t>Is the system logically decomposed into principal subsystems, components, or microservices?</t>
        </is>
      </c>
      <c r="D6" s="18" t="inlineStr">
        <is>
          <t>Done</t>
        </is>
      </c>
      <c r="E6" s="19" t="inlineStr">
        <is>
          <t>Phân rã rõ: SPA, reverse proxy, API (6 module), worker (4 tác vụ), embedding, PostgreSQL, object storage. [v0.2] Kiểm tra PDF lúc nhận file chạy trong tiến trình con giới hạn 10 s / 256 MB (S-DEF-003 – Closed).</t>
        </is>
      </c>
      <c r="F6" s="20" t="inlineStr">
        <is>
          <t>Đạt</t>
        </is>
      </c>
      <c r="G6" s="21" t="inlineStr">
        <is>
          <t>3, 4.1</t>
        </is>
      </c>
    </row>
    <row r="7" ht="28.35" customHeight="1" s="7">
      <c r="A7" s="22" t="n"/>
      <c r="B7" s="23" t="inlineStr">
        <is>
          <t>Logical View</t>
        </is>
      </c>
      <c r="C7" s="23" t="inlineStr">
        <is>
          <t>Are the core conceptual entities, domain models, and their static relationships defined?</t>
        </is>
      </c>
      <c r="D7" s="24" t="inlineStr">
        <is>
          <t>Done</t>
        </is>
      </c>
      <c r="E7" s="25" t="inlineStr">
        <is>
          <t>Sơ đồ ER 11 thực thể. [v0.2] MESSAGE, CITATION, JOB có workspace_id; unique (conversation_id, client_request_id) (S-DEF-001); UPLOAD_BATCH.remaining_slots, DOCUMENT.batch_id và thuật toán hạn mức mục 5.3a (S-DEF-006) – đều Closed.</t>
        </is>
      </c>
      <c r="F7" s="20" t="inlineStr">
        <is>
          <t>Đạt</t>
        </is>
      </c>
      <c r="G7" s="21" t="inlineStr">
        <is>
          <t>5.2; 5.3a</t>
        </is>
      </c>
    </row>
    <row r="8" ht="28.35" customHeight="1" s="7">
      <c r="A8" s="23" t="inlineStr">
        <is>
          <t>4. Behavioral Viewpoints</t>
        </is>
      </c>
      <c r="B8" s="17" t="inlineStr">
        <is>
          <t>Dependency View</t>
        </is>
      </c>
      <c r="C8" s="17" t="inlineStr">
        <is>
          <t>Are the dependencies among architectural elements (e.g., libraries, services) explicitly mapped out?</t>
        </is>
      </c>
      <c r="D8" s="18" t="inlineStr">
        <is>
          <t>Done</t>
        </is>
      </c>
      <c r="E8" s="19" t="inlineStr">
        <is>
          <t>Sơ đồ phụ thuộc module (port/adapter) + import-linter; bảng thư viện có giấy phép và ghi chú pháp chế.</t>
        </is>
      </c>
      <c r="F8" s="20" t="inlineStr">
        <is>
          <t>Đạt</t>
        </is>
      </c>
      <c r="G8" s="21" t="inlineStr">
        <is>
          <t>11.1, 11.2</t>
        </is>
      </c>
    </row>
    <row r="9" ht="28.35" customHeight="1" s="7">
      <c r="A9" s="26" t="n"/>
      <c r="B9" s="23" t="inlineStr">
        <is>
          <t>Interaction View</t>
        </is>
      </c>
      <c r="C9" s="23" t="inlineStr">
        <is>
          <t>Are the high-level communications, message passing, and sequences between major subsystems modeled?</t>
        </is>
      </c>
      <c r="D9" s="24" t="inlineStr">
        <is>
          <t>Done</t>
        </is>
      </c>
      <c r="E9" s="25" t="inlineStr">
        <is>
          <t>4 sơ đồ tuần tự (tải lên, hỏi đáp, xóa, [v0.2] đăng nhập/phiên/đăng xuất – mục 7.3a, S-DEF-007). [v0.2] Ngân sách thời gian sửa: timeout lần đầu 10 s, thử lại theo ngân sách còn lại, đường xấu nhất ≤ 15 s (S-DEF-004). Phân phối SSE qua LISTEN/NOTIFY mô tả ở 6.1.</t>
        </is>
      </c>
      <c r="F9" s="20" t="inlineStr">
        <is>
          <t>Đạt</t>
        </is>
      </c>
      <c r="G9" s="21" t="inlineStr">
        <is>
          <t>7.1–7.4; 6.1</t>
        </is>
      </c>
    </row>
    <row r="10" ht="28.35" customHeight="1" s="7">
      <c r="A10" s="22" t="n"/>
      <c r="B10" s="17" t="inlineStr">
        <is>
          <t>State Dynamics View</t>
        </is>
      </c>
      <c r="C10" s="17" t="inlineStr">
        <is>
          <t>If the system is state-heavy, are the global states and transitions of the overall architecture documented?</t>
        </is>
      </c>
      <c r="D10" s="18" t="inlineStr">
        <is>
          <t>Done</t>
        </is>
      </c>
      <c r="E10" s="19" t="inlineStr">
        <is>
          <t>Máy trạng thái tài liệu và câu hỏi. [v0.2] Chống race xóa-trong-lúc-ingest: transaction cuối của ingest khóa hàng document và rollback nếu đã xóa; purge hoãn khi ingest còn RUNNING; quét hằng giờ dọn chunks mồ côi (S-DEF-002 – Closed).</t>
        </is>
      </c>
      <c r="F10" s="20" t="inlineStr">
        <is>
          <t>Đạt</t>
        </is>
      </c>
      <c r="G10" s="21" t="inlineStr">
        <is>
          <t>5.4; 4.1; 3.2; 7.3</t>
        </is>
      </c>
    </row>
    <row r="11" ht="28.35" customHeight="1" s="7">
      <c r="A11" s="17" t="inlineStr">
        <is>
          <t>5. Data &amp; Interface Viewpoints</t>
        </is>
      </c>
      <c r="B11" s="23" t="inlineStr">
        <is>
          <t>Information View</t>
        </is>
      </c>
      <c r="C11" s="23" t="inlineStr">
        <is>
          <t>Are the overarching data architectures, storage paradigms, and major data flow pipelines defined?</t>
        </is>
      </c>
      <c r="D11" s="24" t="inlineStr">
        <is>
          <t>In Progress</t>
        </is>
      </c>
      <c r="E11" s="25" t="inlineStr">
        <is>
          <t>Chiến lược dữ liệu, chỉ mục, lưu giữ, ước tính dung lượng, pipeline RAG. [v0.2] RLS phủ mọi bảng dữ liệu người dùng; 4 vai trò CSDL không BYPASSRLS (S-DEF-001, S-DEF-008); analytics dùng actor_hash HMAC (S-DEF-017). Còn mở: xung đột sao lưu 7 ngày với xóa ≤ 24 h (OQ-202) – S-DEF-015, chờ PO + IT/Security.</t>
        </is>
      </c>
      <c r="F11" s="20" t="inlineStr">
        <is>
          <t>Đạt một phần</t>
        </is>
      </c>
      <c r="G11" s="21" t="inlineStr">
        <is>
          <t>4, 5.1–5.3; 8.3</t>
        </is>
      </c>
    </row>
    <row r="12" ht="28.35" customHeight="1" s="7">
      <c r="A12" s="22" t="n"/>
      <c r="B12" s="17" t="inlineStr">
        <is>
          <t>Interface View</t>
        </is>
      </c>
      <c r="C12" s="17" t="inlineStr">
        <is>
          <t>Are the external system APIs, provider/requester contracts, and communication protocols strictly defined?</t>
        </is>
      </c>
      <c r="D12" s="18" t="inlineStr">
        <is>
          <t>Done</t>
        </is>
      </c>
      <c r="E12" s="19" t="inlineStr">
        <is>
          <t>[v0.2] OpenAPI 3.1 là hợp đồng chính thức; bảng sự kiện SSE có payload, heartbeat 25 s, cách đồng bộ khi kết nối lại; danh mục mã lỗi đầy đủ (session_expired, batch_expired, batch_full, csrf_invalid, Retry-After) (S-DEF-009, S-DEF-010 – Closed). Bảng giao diện bên ngoài có timeout và xử lý lỗi.</t>
        </is>
      </c>
      <c r="F12" s="20" t="inlineStr">
        <is>
          <t>Đạt</t>
        </is>
      </c>
      <c r="G12" s="21" t="inlineStr">
        <is>
          <t>6.1, 6.2</t>
        </is>
      </c>
    </row>
    <row r="13" ht="28.35" customHeight="1" s="7">
      <c r="A13" s="23" t="inlineStr">
        <is>
          <t>6. Deployment &amp; Resources</t>
        </is>
      </c>
      <c r="B13" s="23" t="inlineStr">
        <is>
          <t>Resource View</t>
        </is>
      </c>
      <c r="C13" s="23" t="inlineStr">
        <is>
          <t>Are system resources (e.g., compute, memory, network bandwidth) allocated across the architectural components?</t>
        </is>
      </c>
      <c r="D13" s="24" t="inlineStr">
        <is>
          <t>Done</t>
        </is>
      </c>
      <c r="E13" s="25" t="inlineStr">
        <is>
          <t>Phân bổ CPU/RAM, ước tính dung lượng và thời gian xử lý. [v0.2] Embedding 2 bản, không còn điểm lỗi đơn cho hỏi đáp (S-DEF-005 – Closed). Thông lượng embedding CPU chưa kiểm chứng – đã ghi rủi ro TR-02 và SPIKE-02.</t>
        </is>
      </c>
      <c r="F13" s="20" t="inlineStr">
        <is>
          <t>Đạt</t>
        </is>
      </c>
      <c r="G13" s="21" t="inlineStr">
        <is>
          <t>9.2; 8.2; 12</t>
        </is>
      </c>
    </row>
    <row r="14" ht="28.35" customHeight="1" s="7">
      <c r="A14" s="22" t="n"/>
      <c r="B14" s="17" t="inlineStr">
        <is>
          <t>Physical/Execution Mapping</t>
        </is>
      </c>
      <c r="C14" s="17" t="inlineStr">
        <is>
          <t>Is there a mapping of software components to physical deployment nodes, execution environments, or cloud infrastructure?</t>
        </is>
      </c>
      <c r="D14" s="18" t="inlineStr">
        <is>
          <t>In Progress</t>
        </is>
      </c>
      <c r="E14" s="19" t="inlineStr">
        <is>
          <t>Sơ đồ triển khai + ánh xạ cho 2 phương án. [v0.2] App và dữ liệu ở subnet riêng, chỉ load balancer công khai, egress qua NAT có danh sách cho phép (S-DEF-011 – Closed). Còn mở: chưa chọn phương án triển khai (chờ OQ-005, OQ-203).</t>
        </is>
      </c>
      <c r="F14" s="20" t="inlineStr">
        <is>
          <t>Đạt một phần</t>
        </is>
      </c>
      <c r="G14" s="21" t="inlineStr">
        <is>
          <t>9.1</t>
        </is>
      </c>
    </row>
    <row r="15" ht="28.35" customHeight="1" s="7">
      <c r="A15" s="17" t="inlineStr">
        <is>
          <t>7. Design Rationale (ADR)</t>
        </is>
      </c>
      <c r="B15" s="23" t="inlineStr">
        <is>
          <t>Architectural Decisions</t>
        </is>
      </c>
      <c r="C15" s="23" t="inlineStr">
        <is>
          <t>Are the justifications for major technology choices and structural patterns fully documented (e.g., using Architecture Decision Records)?</t>
        </is>
      </c>
      <c r="D15" s="24" t="inlineStr">
        <is>
          <t>Done</t>
        </is>
      </c>
      <c r="E15" s="25" t="inlineStr">
        <is>
          <t>15 ADR có quyết định, phương án bị loại, hệ quả, truy vết. Gợi ý (S-DEF-014, Open): khi được duyệt, tách mỗi ADR thành file riêng có bối cảnh, ngày, người quyết định.</t>
        </is>
      </c>
      <c r="F15" s="20" t="inlineStr">
        <is>
          <t>Đạt</t>
        </is>
      </c>
      <c r="G15" s="21" t="inlineStr">
        <is>
          <t>10</t>
        </is>
      </c>
    </row>
    <row r="16" ht="28.35" customHeight="1" s="7">
      <c r="A16" s="26" t="n"/>
      <c r="B16" s="17" t="inlineStr">
        <is>
          <t>Rejected Alternatives</t>
        </is>
      </c>
      <c r="C16" s="17" t="inlineStr">
        <is>
          <t>Are the alternatives that were considered and rejected documented with technical reasons?</t>
        </is>
      </c>
      <c r="D16" s="18" t="inlineStr">
        <is>
          <t>Done</t>
        </is>
      </c>
      <c r="E16" s="19" t="inlineStr">
        <is>
          <t>Mọi ADR nêu phương án bị loại kèm lý do kỹ thuật cụ thể.</t>
        </is>
      </c>
      <c r="F16" s="20" t="inlineStr">
        <is>
          <t>Đạt</t>
        </is>
      </c>
      <c r="G16" s="21" t="inlineStr">
        <is>
          <t>10</t>
        </is>
      </c>
    </row>
    <row r="17" ht="28.35" customHeight="1" s="7">
      <c r="A17" s="22" t="n"/>
      <c r="B17" s="23" t="inlineStr">
        <is>
          <t>Traceability</t>
        </is>
      </c>
      <c r="C17" s="23" t="inlineStr">
        <is>
          <t>Can the major architectural decisions be traced back to the specific business requirements or architectural drivers?</t>
        </is>
      </c>
      <c r="D17" s="24" t="inlineStr">
        <is>
          <t>Done</t>
        </is>
      </c>
      <c r="E17" s="25" t="inlineStr">
        <is>
          <t>Bảng truy vết yêu cầu → thành phần → ADR. [v0.2] Bổ sung NFR-008, NFR-014, US-C02, US-C04, US-C05 (S-DEF-013 – Closed).</t>
        </is>
      </c>
      <c r="F17" s="20" t="inlineStr">
        <is>
          <t>Đạt</t>
        </is>
      </c>
      <c r="G17" s="21" t="inlineStr">
        <is>
          <t>13; 10</t>
        </is>
      </c>
    </row>
  </sheetData>
  <autoFilter ref="A1:E17"/>
  <mergeCells count="7">
    <mergeCell ref="A8:A10"/>
    <mergeCell ref="A4:A5"/>
    <mergeCell ref="A13:A14"/>
    <mergeCell ref="A15:A17"/>
    <mergeCell ref="A2:A3"/>
    <mergeCell ref="A6:A7"/>
    <mergeCell ref="A11:A12"/>
  </mergeCells>
  <conditionalFormatting sqref="D2:D17">
    <cfRule type="cellIs" rank="0" priority="2" equalAverage="0" operator="equal" aboveAverage="0" dxfId="5" text="" percent="0" bottom="0">
      <formula>"Done"</formula>
    </cfRule>
    <cfRule type="cellIs" rank="0" priority="3" equalAverage="0" operator="equal" aboveAverage="0" dxfId="6" text="" percent="0" bottom="0">
      <formula>"In Progress"</formula>
    </cfRule>
    <cfRule type="cellIs" rank="0" priority="4" equalAverage="0" operator="equal" aboveAverage="0" dxfId="7" text="" percent="0" bottom="0">
      <formula>"Pending"</formula>
    </cfRule>
    <cfRule type="cellIs" rank="0" priority="5" equalAverage="0" operator="equal" aboveAverage="0" dxfId="8" text="" percent="0" bottom="0">
      <formula>"N/A"</formula>
    </cfRule>
  </conditionalFormatting>
  <conditionalFormatting sqref="F2:F17">
    <cfRule type="cellIs" priority="5" operator="equal" dxfId="9">
      <formula>"Đạt"</formula>
    </cfRule>
    <cfRule type="cellIs" priority="6" operator="equal" dxfId="10">
      <formula>"Đạt một phần"</formula>
    </cfRule>
    <cfRule type="cellIs" priority="7" operator="equal" dxfId="11">
      <formula>"Chưa đạt"</formula>
    </cfRule>
    <cfRule type="cellIs" priority="8" operator="equal" dxfId="12">
      <formula>"Không áp dụng"</formula>
    </cfRule>
  </conditionalFormatting>
  <dataValidations count="2">
    <dataValidation sqref="D2:D17" showDropDown="0" showInputMessage="0" showErrorMessage="0" allowBlank="1" errorTitle="Invalid Entry" error="Your entry is not in the list" promptTitle="Select Status" prompt="Please select from the list" type="list" errorStyle="stop" operator="between">
      <formula1>"Pending,In Progress,Done,N/A"</formula1>
      <formula2>0</formula2>
    </dataValidation>
    <dataValidation sqref="F2:F17" showDropDown="0" showInputMessage="0" showErrorMessage="0" allowBlank="1" type="list">
      <formula1>"Đạt,Đạt một phần,Chưa đạt,Không áp dụng"</formula1>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H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style="7" min="1" max="1"/>
    <col width="10" customWidth="1" style="7" min="2" max="2"/>
    <col width="28" customWidth="1" style="7" min="3" max="3"/>
    <col width="24" customWidth="1" style="7" min="4" max="4"/>
    <col width="60" customWidth="1" style="7" min="5" max="5"/>
    <col width="55" customWidth="1" style="7" min="6" max="6"/>
    <col width="18" customWidth="1" style="7" min="7" max="7"/>
    <col width="12" customWidth="1" style="7" min="8" max="8"/>
  </cols>
  <sheetData>
    <row r="1">
      <c r="A1" s="27" t="inlineStr">
        <is>
          <t>ID</t>
        </is>
      </c>
      <c r="B1" s="27" t="inlineStr">
        <is>
          <t>Mức độ</t>
        </is>
      </c>
      <c r="C1" s="27" t="inlineStr">
        <is>
          <t>Tiêu chí checklist</t>
        </is>
      </c>
      <c r="D1" s="27" t="inlineStr">
        <is>
          <t>Mục trong SAD</t>
        </is>
      </c>
      <c r="E1" s="27" t="inlineStr">
        <is>
          <t>Phát hiện</t>
        </is>
      </c>
      <c r="F1" s="27" t="inlineStr">
        <is>
          <t>Khuyến nghị</t>
        </is>
      </c>
      <c r="G1" s="27" t="inlineStr">
        <is>
          <t>Owner</t>
        </is>
      </c>
      <c r="H1" s="27" t="inlineStr">
        <is>
          <t>Trạng thái</t>
        </is>
      </c>
    </row>
    <row r="2">
      <c r="A2" s="28" t="inlineStr">
        <is>
          <t>S-DEF-001</t>
        </is>
      </c>
      <c r="B2" s="28" t="inlineStr">
        <is>
          <t>High</t>
        </is>
      </c>
      <c r="C2" s="28" t="inlineStr">
        <is>
          <t>Logical View / Information View</t>
        </is>
      </c>
      <c r="D2" s="28" t="inlineStr">
        <is>
          <t>5.2 ER; 5.1; 6.1</t>
        </is>
      </c>
      <c r="E2" s="28" t="inlineStr">
        <is>
          <t>MESSAGE và CITATION không có workspace_id nên RLS không bảo vệ; client_request_id unique toàn cục và được dùng để trả lại kết quả cũ – nếu tra cứu không lọc theo hội thoại/workspace, người dùng có thể nhận câu trả lời của người khác.</t>
        </is>
      </c>
      <c r="F2" s="28" t="inlineStr">
        <is>
          <t>Thêm workspace_id vào MESSAGE, CITATION; bật RLS cho CONVERSATION, MESSAGE, CITATION; đổi unique thành (conversation_id, client_request_id).</t>
        </is>
      </c>
      <c r="G2" s="28" t="inlineStr">
        <is>
          <t>Architect</t>
        </is>
      </c>
      <c r="H2" s="28" t="inlineStr">
        <is>
          <t>Closed</t>
        </is>
      </c>
    </row>
    <row r="3">
      <c r="A3" s="28" t="inlineStr">
        <is>
          <t>S-DEF-002</t>
        </is>
      </c>
      <c r="B3" s="28" t="inlineStr">
        <is>
          <t>High</t>
        </is>
      </c>
      <c r="C3" s="28" t="inlineStr">
        <is>
          <t>State Dynamics View</t>
        </is>
      </c>
      <c r="D3" s="28" t="inlineStr">
        <is>
          <t>5.4; 7.1; 7.3</t>
        </is>
      </c>
      <c r="E3" s="28" t="inlineStr">
        <is>
          <t>Xóa tài liệu khi worker đang xử lý: worker có thể ghi chunks/READY sau khi purge đã chạy → chunks mồ côi không bao giờ bị xóa (vi phạm NFR-013).</t>
        </is>
      </c>
      <c r="F3" s="28" t="inlineStr">
        <is>
          <t>Transaction cuối của ingest: SELECT … FOR UPDATE trên document và chỉ ghi khi deleted_at IS NULL; purge chỉ chạy khi không còn job ingest đang khóa; thêm kiểm tra định kỳ chunks của tài liệu đã purged.</t>
        </is>
      </c>
      <c r="G3" s="28" t="inlineStr">
        <is>
          <t>Architect</t>
        </is>
      </c>
      <c r="H3" s="28" t="inlineStr">
        <is>
          <t>Closed</t>
        </is>
      </c>
    </row>
    <row r="4">
      <c r="A4" s="28" t="inlineStr">
        <is>
          <t>S-DEF-003</t>
        </is>
      </c>
      <c r="B4" s="28" t="inlineStr">
        <is>
          <t>Medium</t>
        </is>
      </c>
      <c r="C4" s="28" t="inlineStr">
        <is>
          <t>Composition View</t>
        </is>
      </c>
      <c r="D4" s="28" t="inlineStr">
        <is>
          <t>4.1 bước 1</t>
        </is>
      </c>
      <c r="E4" s="28" t="inlineStr">
        <is>
          <t>Kiểm tra PDF lúc nhận file (pypdf đếm trang, phát hiện mã hóa) chạy trong tiến trình API, không được cô lập; PDF độc hại có thể làm treo hoặc hết bộ nhớ API.</t>
        </is>
      </c>
      <c r="F4" s="28" t="inlineStr">
        <is>
          <t>Chạy trong tiến trình con có giới hạn thời gian (10 s) và bộ nhớ, hoặc chuyển sang worker và trả lỗi qua trạng thái.</t>
        </is>
      </c>
      <c r="G4" s="28" t="inlineStr">
        <is>
          <t>Architect</t>
        </is>
      </c>
      <c r="H4" s="28" t="inlineStr">
        <is>
          <t>Closed</t>
        </is>
      </c>
    </row>
    <row r="5">
      <c r="A5" s="28" t="inlineStr">
        <is>
          <t>S-DEF-004</t>
        </is>
      </c>
      <c r="B5" s="28" t="inlineStr">
        <is>
          <t>Medium</t>
        </is>
      </c>
      <c r="C5" s="28" t="inlineStr">
        <is>
          <t>Interaction View</t>
        </is>
      </c>
      <c r="D5" s="28" t="inlineStr">
        <is>
          <t>7.4; 6.2; 8.2</t>
        </is>
      </c>
      <c r="E5" s="28" t="inlineStr">
        <is>
          <t>Thử lại LLM khi lỗi trong 4 s đầu + timeout 12 s cho lần thử lại → tổng tới ~16,8 s, vượt NFR-001 (15 s); bảng ngân sách ghi 'dư ~2 s' là không đúng.</t>
        </is>
      </c>
      <c r="F5" s="28" t="inlineStr">
        <is>
          <t>Timeout lần thử lại = ngân sách còn lại (vd. 15 s − thời gian đã dùng − 1 s), hoặc giảm timeout lần đầu xuống 10 s.</t>
        </is>
      </c>
      <c r="G5" s="28" t="inlineStr">
        <is>
          <t>Architect</t>
        </is>
      </c>
      <c r="H5" s="28" t="inlineStr">
        <is>
          <t>Closed</t>
        </is>
      </c>
    </row>
    <row r="6">
      <c r="A6" s="28" t="inlineStr">
        <is>
          <t>S-DEF-005</t>
        </is>
      </c>
      <c r="B6" s="28" t="inlineStr">
        <is>
          <t>Medium</t>
        </is>
      </c>
      <c r="C6" s="28" t="inlineStr">
        <is>
          <t>Resource View</t>
        </is>
      </c>
      <c r="D6" s="28" t="inlineStr">
        <is>
          <t>9.2; 8.2</t>
        </is>
      </c>
      <c r="E6" s="28" t="inlineStr">
        <is>
          <t>Embedding service chỉ 1 bản là điểm lỗi đơn cho cả hỏi đáp và ingest; xung đột NFR-015.</t>
        </is>
      </c>
      <c r="F6" s="28" t="inlineStr">
        <is>
          <t>Chạy 2 bản (hoặc nạp mô hình embedding câu hỏi ngay trong API làm dự phòng); ghi rõ chấp nhận rủi ro nếu giữ 1 bản.</t>
        </is>
      </c>
      <c r="G6" s="28" t="inlineStr">
        <is>
          <t>Architect</t>
        </is>
      </c>
      <c r="H6" s="28" t="inlineStr">
        <is>
          <t>Closed</t>
        </is>
      </c>
    </row>
    <row r="7">
      <c r="A7" s="28" t="inlineStr">
        <is>
          <t>S-DEF-006</t>
        </is>
      </c>
      <c r="B7" s="28" t="inlineStr">
        <is>
          <t>Medium</t>
        </is>
      </c>
      <c r="C7" s="28" t="inlineStr">
        <is>
          <t>Logical View</t>
        </is>
      </c>
      <c r="D7" s="28" t="inlineStr">
        <is>
          <t>5.2; 6.1; ADR-014</t>
        </is>
      </c>
      <c r="E7" s="28" t="inlineStr">
        <is>
          <t>Vòng đời lô tải lên chưa định nghĩa: khi nào trừ/giải phóng chỗ đặt, file bị từ chối có trả lại chỗ không, DOCUMENT có liên kết batch_id không, hai lô đồng thời của cùng người dùng.</t>
        </is>
      </c>
      <c r="F7" s="28" t="inlineStr">
        <is>
          <t>Mô tả thuật toán hạn mức: used = documents chưa xóa + chỗ đặt của lô còn hạn; mỗi file thành công/bị từ chối trừ 1 chỗ đặt; lô hết hạn giải phóng chỗ còn lại.</t>
        </is>
      </c>
      <c r="G7" s="28" t="inlineStr">
        <is>
          <t>Architect</t>
        </is>
      </c>
      <c r="H7" s="28" t="inlineStr">
        <is>
          <t>Closed</t>
        </is>
      </c>
    </row>
    <row r="8">
      <c r="A8" s="28" t="inlineStr">
        <is>
          <t>S-DEF-007</t>
        </is>
      </c>
      <c r="B8" s="28" t="inlineStr">
        <is>
          <t>Medium</t>
        </is>
      </c>
      <c r="C8" s="28" t="inlineStr">
        <is>
          <t>Interaction View / Interface View</t>
        </is>
      </c>
      <c r="D8" s="28" t="inlineStr">
        <is>
          <t>7; 8.1; 6.1</t>
        </is>
      </c>
      <c r="E8" s="28" t="inlineStr">
        <is>
          <t>Chưa có sơ đồ luồng đăng nhập OIDC + tạo phiên + cấp CSRF token; không có endpoint/cơ chế để SPA lấy CSRF token.</t>
        </is>
      </c>
      <c r="F8" s="28" t="inlineStr">
        <is>
          <t>Thêm sơ đồ tuần tự đăng nhập/đăng xuất/hết hạn phiên; định nghĩa cách cấp CSRF token (cookie đọc được + header).</t>
        </is>
      </c>
      <c r="G8" s="28" t="inlineStr">
        <is>
          <t>Architect</t>
        </is>
      </c>
      <c r="H8" s="28" t="inlineStr">
        <is>
          <t>Closed</t>
        </is>
      </c>
    </row>
    <row r="9">
      <c r="A9" s="28" t="inlineStr">
        <is>
          <t>S-DEF-008</t>
        </is>
      </c>
      <c r="B9" s="28" t="inlineStr">
        <is>
          <t>Medium</t>
        </is>
      </c>
      <c r="C9" s="28" t="inlineStr">
        <is>
          <t>Information View</t>
        </is>
      </c>
      <c r="D9" s="28" t="inlineStr">
        <is>
          <t>5.1; 3.2</t>
        </is>
      </c>
      <c r="E9" s="28" t="inlineStr">
        <is>
          <t>Worker xử lý tài liệu của mọi workspace nhưng chưa định nghĩa vai trò CSDL của worker với RLS (BYPASSRLS hay SET LOCAL workspace theo từng job).</t>
        </is>
      </c>
      <c r="F9" s="28" t="inlineStr">
        <is>
          <t>Worker đặt app.workspace_id theo document của job; không cấp BYPASSRLS; chỉ tác vụ purge/prune dùng vai trò riêng có quyền tối thiểu.</t>
        </is>
      </c>
      <c r="G9" s="28" t="inlineStr">
        <is>
          <t>Architect</t>
        </is>
      </c>
      <c r="H9" s="28" t="inlineStr">
        <is>
          <t>Closed</t>
        </is>
      </c>
    </row>
    <row r="10">
      <c r="A10" s="28" t="inlineStr">
        <is>
          <t>S-DEF-009</t>
        </is>
      </c>
      <c r="B10" s="28" t="inlineStr">
        <is>
          <t>Low</t>
        </is>
      </c>
      <c r="C10" s="28" t="inlineStr">
        <is>
          <t>Interface View</t>
        </is>
      </c>
      <c r="D10" s="28" t="inlineStr">
        <is>
          <t>6.1; ADR-004</t>
        </is>
      </c>
      <c r="E10" s="28" t="inlineStr">
        <is>
          <t>Chưa có schema payload sự kiện SSE, cơ chế heartbeat (proxy/load balancer thường ngắt kết nối nhàn rỗi sau 60 s) và cách đồng bộ lại khi kết nối lại.</t>
        </is>
      </c>
      <c r="F10" s="28" t="inlineStr">
        <is>
          <t>Định nghĩa payload, heartbeat 25 s, `Last-Event-ID` hoặc tải lại danh sách khi kết nối lại.</t>
        </is>
      </c>
      <c r="G10" s="28" t="inlineStr">
        <is>
          <t>Architect</t>
        </is>
      </c>
      <c r="H10" s="28" t="inlineStr">
        <is>
          <t>Closed</t>
        </is>
      </c>
    </row>
    <row r="11">
      <c r="A11" s="28" t="inlineStr">
        <is>
          <t>S-DEF-010</t>
        </is>
      </c>
      <c r="B11" s="28" t="inlineStr">
        <is>
          <t>Low</t>
        </is>
      </c>
      <c r="C11" s="28" t="inlineStr">
        <is>
          <t>Interface View</t>
        </is>
      </c>
      <c r="D11" s="28" t="inlineStr">
        <is>
          <t>6.1</t>
        </is>
      </c>
      <c r="E11" s="28" t="inlineStr">
        <is>
          <t>API chưa có đặc tả hình thức; danh mục mã lỗi thiếu batch_expired, session_expired (E-17); 429 chưa có Retry-After.</t>
        </is>
      </c>
      <c r="F11" s="28" t="inlineStr">
        <is>
          <t>Sinh OpenAPI từ FastAPI làm hợp đồng chính thức; bổ sung danh mục mã lỗi.</t>
        </is>
      </c>
      <c r="G11" s="28" t="inlineStr">
        <is>
          <t>Tech Lead</t>
        </is>
      </c>
      <c r="H11" s="28" t="inlineStr">
        <is>
          <t>Closed</t>
        </is>
      </c>
    </row>
    <row r="12">
      <c r="A12" s="28" t="inlineStr">
        <is>
          <t>S-DEF-011</t>
        </is>
      </c>
      <c r="B12" s="28" t="inlineStr">
        <is>
          <t>Low</t>
        </is>
      </c>
      <c r="C12" s="28" t="inlineStr">
        <is>
          <t>Physical/Execution Mapping</t>
        </is>
      </c>
      <c r="D12" s="28" t="inlineStr">
        <is>
          <t>9.1</t>
        </is>
      </c>
      <c r="E12" s="28" t="inlineStr">
        <is>
          <t>Sơ đồ triển khai đặt web/api/worker/embedding trong subnet tên 'Public'.</t>
        </is>
      </c>
      <c r="F12" s="28" t="inlineStr">
        <is>
          <t>Đổi thành subnet riêng (private); chỉ load balancer ở subnet công khai; egress tới LLM/IdP qua NAT có danh sách cho phép.</t>
        </is>
      </c>
      <c r="G12" s="28" t="inlineStr">
        <is>
          <t>Architect</t>
        </is>
      </c>
      <c r="H12" s="28" t="inlineStr">
        <is>
          <t>Closed</t>
        </is>
      </c>
    </row>
    <row r="13">
      <c r="A13" s="28" t="inlineStr">
        <is>
          <t>S-DEF-012</t>
        </is>
      </c>
      <c r="B13" s="28" t="inlineStr">
        <is>
          <t>Medium</t>
        </is>
      </c>
      <c r="C13" s="28" t="inlineStr">
        <is>
          <t>System Constraints</t>
        </is>
      </c>
      <c r="D13" s="28" t="inlineStr">
        <is>
          <t>0; 8.1; 14</t>
        </is>
      </c>
      <c r="E13" s="28" t="inlineStr">
        <is>
          <t>Ràng buộc pháp lý và chuẩn doanh nghiệp chưa xác định (OQ-203 vùng dữ liệu, DEF-002 bảo vệ dữ liệu cá nhân, OQ-204, OQ-205) – chặn chọn phương án triển khai.</t>
        </is>
      </c>
      <c r="F13" s="28" t="inlineStr">
        <is>
          <t>IT/Security + Pháp chế trả lời; cập nhật mục 0 và 9.1.</t>
        </is>
      </c>
      <c r="G13" s="28" t="inlineStr">
        <is>
          <t>IT/Security</t>
        </is>
      </c>
      <c r="H13" s="28" t="inlineStr">
        <is>
          <t>Open</t>
        </is>
      </c>
    </row>
    <row r="14">
      <c r="A14" s="28" t="inlineStr">
        <is>
          <t>S-DEF-013</t>
        </is>
      </c>
      <c r="B14" s="28" t="inlineStr">
        <is>
          <t>Low</t>
        </is>
      </c>
      <c r="C14" s="28" t="inlineStr">
        <is>
          <t>Traceability</t>
        </is>
      </c>
      <c r="D14" s="28" t="inlineStr">
        <is>
          <t>13</t>
        </is>
      </c>
      <c r="E14" s="28" t="inlineStr">
        <is>
          <t>Bảng truy vết chưa có NFR-008, NFR-014 và các story đề xuất US-C02, US-C04, US-C05.</t>
        </is>
      </c>
      <c r="F14" s="28" t="inlineStr">
        <is>
          <t>Bổ sung; ghi 'không ảnh hưởng kiến trúc' khi phù hợp; nêu cách hỗ trợ tra cứu nhật ký (US-C02) nếu được duyệt.</t>
        </is>
      </c>
      <c r="G14" s="28" t="inlineStr">
        <is>
          <t>Architect</t>
        </is>
      </c>
      <c r="H14" s="28" t="inlineStr">
        <is>
          <t>Closed</t>
        </is>
      </c>
    </row>
    <row r="15">
      <c r="A15" s="28" t="inlineStr">
        <is>
          <t>S-DEF-014</t>
        </is>
      </c>
      <c r="B15" s="28" t="inlineStr">
        <is>
          <t>Low</t>
        </is>
      </c>
      <c r="C15" s="28" t="inlineStr">
        <is>
          <t>Architectural Decisions</t>
        </is>
      </c>
      <c r="D15" s="28" t="inlineStr">
        <is>
          <t>10</t>
        </is>
      </c>
      <c r="E15" s="28" t="inlineStr">
        <is>
          <t>ADR dạng bảng gộp, thiếu bối cảnh riêng, ngày, người quyết định, trạng thái từng ADR.</t>
        </is>
      </c>
      <c r="F15" s="28" t="inlineStr">
        <is>
          <t>Khi duyệt, tách thành file ADR riêng (doc/04-design/adr/ADR-xxx.md).</t>
        </is>
      </c>
      <c r="G15" s="28" t="inlineStr">
        <is>
          <t>Tech Lead</t>
        </is>
      </c>
      <c r="H15" s="28" t="inlineStr">
        <is>
          <t>Open</t>
        </is>
      </c>
    </row>
    <row r="16">
      <c r="A16" s="28" t="inlineStr">
        <is>
          <t>S-DEF-015</t>
        </is>
      </c>
      <c r="B16" s="28" t="inlineStr">
        <is>
          <t>Medium</t>
        </is>
      </c>
      <c r="C16" s="28" t="inlineStr">
        <is>
          <t>Information View</t>
        </is>
      </c>
      <c r="D16" s="28" t="inlineStr">
        <is>
          <t>5.3; 8.2; OQ-202</t>
        </is>
      </c>
      <c r="E16" s="28" t="inlineStr">
        <is>
          <t>Bản sao lưu CSDL giữ 7 ngày còn dữ liệu tài liệu đã xóa, xung đột NFR-013; đã nêu nhưng chưa có hướng giải quyết.</t>
        </is>
      </c>
      <c r="F16" s="28" t="inlineStr">
        <is>
          <t>PO + IT/Security quyết định: ngoại lệ có văn bản cho bản sao lưu, hoặc giữ bản sao lưu ≤ 1 ngày.</t>
        </is>
      </c>
      <c r="G16" s="28" t="inlineStr">
        <is>
          <t>PO + IT/Security</t>
        </is>
      </c>
      <c r="H16" s="28" t="inlineStr">
        <is>
          <t>Open</t>
        </is>
      </c>
    </row>
    <row r="17">
      <c r="A17" s="28" t="inlineStr">
        <is>
          <t>S-DEF-016</t>
        </is>
      </c>
      <c r="B17" s="28" t="inlineStr">
        <is>
          <t>Low</t>
        </is>
      </c>
      <c r="C17" s="28" t="inlineStr">
        <is>
          <t>Architectural Drivers</t>
        </is>
      </c>
      <c r="D17" s="28" t="inlineStr">
        <is>
          <t>4.3; 7.4; OQ-206</t>
        </is>
      </c>
      <c r="E17" s="28" t="inlineStr">
        <is>
          <t>Có ngân sách token mỗi câu hỏi nhưng chưa ước tính chi phí LLM theo tháng.</t>
        </is>
      </c>
      <c r="F17" s="28" t="inlineStr">
        <is>
          <t>Ước tính: số người dùng × số câu hỏi/ngày × token × đơn giá nhà cung cấp; dùng làm căn cứ cho giới hạn tần suất.</t>
        </is>
      </c>
      <c r="G17" s="28" t="inlineStr">
        <is>
          <t>Architect + Sponsor</t>
        </is>
      </c>
      <c r="H17" s="28" t="inlineStr">
        <is>
          <t>In Progress</t>
        </is>
      </c>
    </row>
    <row r="18">
      <c r="A18" s="28" t="inlineStr">
        <is>
          <t>S-DEF-017</t>
        </is>
      </c>
      <c r="B18" s="28" t="inlineStr">
        <is>
          <t>Low</t>
        </is>
      </c>
      <c r="C18" s="28" t="inlineStr">
        <is>
          <t>Information View</t>
        </is>
      </c>
      <c r="D18" s="28" t="inlineStr">
        <is>
          <t>8.3; 5.3</t>
        </is>
      </c>
      <c r="E18" s="28" t="inlineStr">
        <is>
          <t>Chưa nêu analytics_events có lưu định danh người dùng không (cần cho funnel và 'người dùng quay lại hằng tuần') và ở dạng nào.</t>
        </is>
      </c>
      <c r="F18" s="28" t="inlineStr">
        <is>
          <t>Lưu user_id dạng ẩn danh (hash có khóa bí mật); ghi vào chính sách lưu giữ.</t>
        </is>
      </c>
      <c r="G18" s="28" t="inlineStr">
        <is>
          <t>Architect</t>
        </is>
      </c>
      <c r="H18" s="28" t="inlineStr">
        <is>
          <t>Closed</t>
        </is>
      </c>
    </row>
  </sheetData>
  <conditionalFormatting sqref="B2:B18">
    <cfRule type="cellIs" priority="1" operator="equal" dxfId="11">
      <formula>"High"</formula>
    </cfRule>
    <cfRule type="cellIs" priority="2" operator="equal" dxfId="10">
      <formula>"Medium"</formula>
    </cfRule>
  </conditionalFormatting>
  <dataValidations count="2">
    <dataValidation sqref="B2:B18" showDropDown="0" showInputMessage="0" showErrorMessage="0" allowBlank="1" type="list">
      <formula1>"High,Medium,Low"</formula1>
    </dataValidation>
    <dataValidation sqref="H2:H18" showDropDown="0" showInputMessage="0" showErrorMessage="0" allowBlank="1" type="list">
      <formula1>"Open,In Progress,Closed"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2026-07-15T15:33:11Z</dcterms:created>
  <dcterms:modified xsi:type="dcterms:W3CDTF">2026-10-24T14:14:15Z</dcterms:modified>
  <cp:revision>1</cp:revision>
</cp:coreProperties>
</file>