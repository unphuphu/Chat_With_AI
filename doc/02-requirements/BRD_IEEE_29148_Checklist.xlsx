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0" autoFilterDateGrouping="1"/>
  </bookViews>
  <sheets>
    <sheet name="Tổng hợp" sheetId="1" state="visible" r:id="rId1"/>
    <sheet name="IEEE 29148 BRD Checklist" sheetId="2" state="visible" r:id="rId2"/>
    <sheet name="Phát hiện chi tiết"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2">
    <font>
      <name val="Calibri"/>
      <color theme="1"/>
      <sz val="11"/>
      <scheme val="minor"/>
    </font>
    <font>
      <name val="Calibri"/>
      <b val="1"/>
      <color indexed="65"/>
      <sz val="11"/>
    </font>
    <font>
      <name val="Calibri"/>
      <b val="1"/>
      <sz val="11"/>
    </font>
    <font>
      <name val="Calibri"/>
      <sz val="11"/>
    </font>
    <font>
      <name val="Arial"/>
      <sz val="11"/>
    </font>
    <font>
      <name val="Arial"/>
      <b val="1"/>
      <sz val="11"/>
    </font>
    <font>
      <name val="Arial"/>
      <sz val="10"/>
    </font>
    <font>
      <name val="Arial"/>
      <b val="1"/>
      <color rgb="00FFFFFF"/>
    </font>
    <font>
      <name val="Arial"/>
      <b val="1"/>
      <sz val="14"/>
    </font>
    <font>
      <name val="Arial"/>
      <b val="1"/>
    </font>
    <font>
      <name val="Arial"/>
    </font>
    <font>
      <name val="Arial"/>
      <color theme="1"/>
    </font>
  </fonts>
  <fills count="6">
    <fill>
      <patternFill/>
    </fill>
    <fill>
      <patternFill patternType="gray125"/>
    </fill>
    <fill>
      <patternFill patternType="solid">
        <fgColor rgb="FF117A65"/>
        <bgColor rgb="FF117A65"/>
      </patternFill>
    </fill>
    <fill>
      <patternFill patternType="solid">
        <fgColor indexed="65"/>
        <bgColor indexed="65"/>
      </patternFill>
    </fill>
    <fill>
      <patternFill patternType="solid">
        <fgColor rgb="FFE8F8F5"/>
        <bgColor rgb="FFE8F8F5"/>
      </patternFill>
    </fill>
    <fill>
      <patternFill patternType="solid">
        <fgColor rgb="00117A65"/>
      </patternFill>
    </fill>
  </fills>
  <borders count="7">
    <border>
      <left/>
      <right/>
      <top/>
      <bottom/>
      <diagonal/>
    </border>
    <border>
      <left style="thin">
        <color rgb="FFD0D3D4"/>
      </left>
      <right style="thin">
        <color rgb="FFD0D3D4"/>
      </right>
      <top style="thin">
        <color rgb="FFD0D3D4"/>
      </top>
      <bottom style="thin">
        <color rgb="FFD0D3D4"/>
      </bottom>
      <diagonal/>
    </border>
    <border>
      <left style="thin">
        <color rgb="FFD0D3D4"/>
      </left>
      <right style="thin">
        <color rgb="FFD0D3D4"/>
      </right>
      <top style="thin">
        <color rgb="FFD0D3D4"/>
      </top>
      <bottom/>
      <diagonal/>
    </border>
    <border>
      <left style="thin">
        <color rgb="FFD0D3D4"/>
      </left>
      <right style="thin">
        <color rgb="FFD0D3D4"/>
      </right>
      <top/>
      <bottom/>
      <diagonal/>
    </border>
    <border>
      <left style="thin">
        <color rgb="FFD0D3D4"/>
      </left>
      <right style="thin">
        <color rgb="FFD0D3D4"/>
      </right>
      <top/>
      <bottom style="thin">
        <color rgb="FFD0D3D4"/>
      </bottom>
      <diagonal/>
    </border>
    <border>
      <left style="thin">
        <color rgb="FFD0D3D4"/>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0" fillId="0" borderId="0" applyAlignment="1" pivotButton="0" quotePrefix="0" xfId="0">
      <alignment vertical="center"/>
    </xf>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2" fillId="0" borderId="1" pivotButton="0" quotePrefix="0" xfId="0"/>
    <xf numFmtId="0" fontId="3" fillId="0" borderId="1" applyAlignment="1" pivotButton="0" quotePrefix="0" xfId="0">
      <alignment vertical="center" wrapText="1"/>
    </xf>
    <xf numFmtId="0" fontId="3" fillId="0" borderId="1" applyAlignment="1" pivotButton="0" quotePrefix="0" xfId="0">
      <alignment horizontal="center" vertical="center"/>
    </xf>
    <xf numFmtId="0" fontId="2" fillId="3" borderId="3" applyAlignment="1" pivotButton="0" quotePrefix="0" xfId="0">
      <alignment horizontal="center" vertical="center"/>
    </xf>
    <xf numFmtId="0" fontId="3" fillId="0" borderId="1" pivotButton="0" quotePrefix="0" xfId="0"/>
    <xf numFmtId="0" fontId="2" fillId="3" borderId="4" applyAlignment="1" pivotButton="0" quotePrefix="0" xfId="0">
      <alignment horizontal="center" vertical="center"/>
    </xf>
    <xf numFmtId="0" fontId="2" fillId="4" borderId="2"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7" fillId="5" borderId="0" applyAlignment="1" pivotButton="0" quotePrefix="0" xfId="0">
      <alignment vertical="top" wrapText="1"/>
    </xf>
    <xf numFmtId="164" fontId="11" fillId="0" borderId="0" applyAlignment="1" pivotButton="0" quotePrefix="0" xfId="0">
      <alignment vertical="top" wrapText="1"/>
    </xf>
    <xf numFmtId="164" fontId="9" fillId="0" borderId="0" applyAlignment="1" pivotButton="0" quotePrefix="0" xfId="0">
      <alignment vertical="top" wrapText="1"/>
    </xf>
    <xf numFmtId="0" fontId="2" fillId="3" borderId="1" applyAlignment="1" pivotButton="0" quotePrefix="0" xfId="0">
      <alignment horizontal="center"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0" fillId="0" borderId="3" pivotButton="0" quotePrefix="0" xfId="0"/>
    <xf numFmtId="0" fontId="0" fillId="0" borderId="4" pivotButton="0" quotePrefix="0" xfId="0"/>
    <xf numFmtId="0" fontId="2" fillId="4" borderId="1" applyAlignment="1" pivotButton="0" quotePrefix="0" xfId="0">
      <alignment horizontal="center" vertical="center"/>
    </xf>
    <xf numFmtId="0" fontId="7" fillId="5" borderId="6" applyAlignment="1" pivotButton="0" quotePrefix="0" xfId="0">
      <alignment horizontal="center" vertical="center" wrapText="1"/>
    </xf>
    <xf numFmtId="0" fontId="6" fillId="0" borderId="6" applyAlignment="1" pivotButton="0" quotePrefix="0" xfId="0">
      <alignment vertical="top" wrapText="1"/>
    </xf>
  </cellXfs>
  <cellStyles count="1">
    <cellStyle name="Normal" xfId="0" builtinId="0"/>
  </cellStyles>
  <dxfs count="3">
    <dxf>
      <fill>
        <patternFill patternType="solid">
          <fgColor rgb="00D5F5E3"/>
        </patternFill>
      </fill>
    </dxf>
    <dxf>
      <fill>
        <patternFill patternType="solid">
          <fgColor rgb="00FCF3CF"/>
        </patternFill>
      </fill>
    </dxf>
    <dxf>
      <fill>
        <patternFill patternType="solid">
          <fgColor rgb="00FADBD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0" customWidth="1" min="1" max="1"/>
    <col width="70" customWidth="1" min="2" max="2"/>
    <col width="14" customWidth="1" min="3" max="3"/>
  </cols>
  <sheetData>
    <row r="1">
      <c r="A1" s="14" t="inlineStr">
        <is>
          <t>Kết quả review BRD theo checklist IEEE 29148</t>
        </is>
      </c>
    </row>
    <row r="3">
      <c r="A3" s="15" t="inlineStr">
        <is>
          <t>Tài liệu được review</t>
        </is>
      </c>
      <c r="B3" s="16" t="inlineStr">
        <is>
          <t>doc/02-requirements/BRD.md – BRD-AICHAT-001</t>
        </is>
      </c>
      <c r="C3" s="17" t="n"/>
    </row>
    <row r="4">
      <c r="A4" s="15" t="inlineStr">
        <is>
          <t>Phiên bản BRD</t>
        </is>
      </c>
      <c r="B4" s="16" t="inlineStr">
        <is>
          <t>0.2 (Draft) – đã sửa DEF-004, DEF-005, DEF-008, DEF-012; DEF-011 sửa một phần</t>
        </is>
      </c>
      <c r="C4" s="17" t="n"/>
    </row>
    <row r="5">
      <c r="A5" s="15" t="inlineStr">
        <is>
          <t>Checklist</t>
        </is>
      </c>
      <c r="B5" s="16" t="inlineStr">
        <is>
          <t>doc/templates/BRD_IEEE_29148_Checklist.xlsx</t>
        </is>
      </c>
      <c r="C5" s="17" t="n"/>
    </row>
    <row r="6">
      <c r="A6" s="15" t="inlineStr">
        <is>
          <t>Ngày review</t>
        </is>
      </c>
      <c r="B6" s="16" t="inlineStr">
        <is>
          <t>2026-10-23</t>
        </is>
      </c>
      <c r="C6" s="17" t="n"/>
    </row>
    <row r="7">
      <c r="A7" s="15" t="inlineStr">
        <is>
          <t>Người review</t>
        </is>
      </c>
      <c r="B7" s="16" t="inlineStr">
        <is>
          <t>Claude (AI review hỗ trợ BA) – cần BA/PO xác nhận</t>
        </is>
      </c>
      <c r="C7" s="17" t="n"/>
    </row>
    <row r="8">
      <c r="A8" s="17" t="n"/>
      <c r="B8" s="17" t="n"/>
      <c r="C8" s="17" t="n"/>
    </row>
    <row r="9">
      <c r="A9" s="18" t="inlineStr">
        <is>
          <t>Kết quả đánh giá</t>
        </is>
      </c>
      <c r="B9" s="18" t="inlineStr">
        <is>
          <t>Số tiêu chí</t>
        </is>
      </c>
      <c r="C9" s="18" t="inlineStr">
        <is>
          <t>Tỷ lệ</t>
        </is>
      </c>
    </row>
    <row r="10">
      <c r="A10" s="17" t="inlineStr">
        <is>
          <t>Đạt</t>
        </is>
      </c>
      <c r="B10" s="17">
        <f>COUNTIF('IEEE 29148 BRD Checklist'!$F$2:$F$21,A10)</f>
        <v/>
      </c>
      <c r="C10" s="19">
        <f>IF($B$14=0,0,B10/$B$14)</f>
        <v/>
      </c>
    </row>
    <row r="11">
      <c r="A11" s="17" t="inlineStr">
        <is>
          <t>Đạt một phần</t>
        </is>
      </c>
      <c r="B11" s="17">
        <f>COUNTIF('IEEE 29148 BRD Checklist'!$F$2:$F$21,A11)</f>
        <v/>
      </c>
      <c r="C11" s="19">
        <f>IF($B$14=0,0,B11/$B$14)</f>
        <v/>
      </c>
    </row>
    <row r="12">
      <c r="A12" s="17" t="inlineStr">
        <is>
          <t>Chưa đạt</t>
        </is>
      </c>
      <c r="B12" s="17">
        <f>COUNTIF('IEEE 29148 BRD Checklist'!$F$2:$F$21,A12)</f>
        <v/>
      </c>
      <c r="C12" s="19">
        <f>IF($B$14=0,0,B12/$B$14)</f>
        <v/>
      </c>
    </row>
    <row r="13">
      <c r="A13" s="17" t="inlineStr">
        <is>
          <t>Không áp dụng</t>
        </is>
      </c>
      <c r="B13" s="17">
        <f>COUNTIF('IEEE 29148 BRD Checklist'!$F$2:$F$21,A13)</f>
        <v/>
      </c>
      <c r="C13" s="19">
        <f>IF($B$14=0,0,B13/$B$14)</f>
        <v/>
      </c>
    </row>
    <row r="14">
      <c r="A14" s="15" t="inlineStr">
        <is>
          <t>Tổng</t>
        </is>
      </c>
      <c r="B14" s="15">
        <f>SUM(B10:B13)</f>
        <v/>
      </c>
      <c r="C14" s="20">
        <f>SUM(C10:C13)</f>
        <v/>
      </c>
    </row>
    <row r="15">
      <c r="A15" s="17" t="n"/>
      <c r="B15" s="17" t="n"/>
      <c r="C15" s="17" t="n"/>
    </row>
    <row r="16">
      <c r="A16" s="18" t="inlineStr">
        <is>
          <t>Status (theo template)</t>
        </is>
      </c>
      <c r="B16" s="18" t="inlineStr">
        <is>
          <t>Số tiêu chí</t>
        </is>
      </c>
      <c r="C16" s="18" t="n"/>
    </row>
    <row r="17">
      <c r="A17" s="17" t="inlineStr">
        <is>
          <t>Done</t>
        </is>
      </c>
      <c r="B17" s="17">
        <f>COUNTIF('IEEE 29148 BRD Checklist'!$D$2:$D$21,A17)</f>
        <v/>
      </c>
      <c r="C17" s="17" t="n"/>
    </row>
    <row r="18">
      <c r="A18" s="17" t="inlineStr">
        <is>
          <t>In Progress</t>
        </is>
      </c>
      <c r="B18" s="17">
        <f>COUNTIF('IEEE 29148 BRD Checklist'!$D$2:$D$21,A18)</f>
        <v/>
      </c>
      <c r="C18" s="17" t="n"/>
    </row>
    <row r="19">
      <c r="A19" s="17" t="inlineStr">
        <is>
          <t>Pending</t>
        </is>
      </c>
      <c r="B19" s="17">
        <f>COUNTIF('IEEE 29148 BRD Checklist'!$D$2:$D$21,A19)</f>
        <v/>
      </c>
      <c r="C19" s="17" t="n"/>
    </row>
    <row r="20">
      <c r="A20" s="17" t="inlineStr">
        <is>
          <t>N/A</t>
        </is>
      </c>
      <c r="B20" s="17">
        <f>COUNTIF('IEEE 29148 BRD Checklist'!$D$2:$D$21,A20)</f>
        <v/>
      </c>
      <c r="C20" s="17" t="n"/>
    </row>
    <row r="21">
      <c r="A21" s="17" t="n"/>
      <c r="B21" s="17" t="n"/>
      <c r="C21" s="17" t="n"/>
    </row>
    <row r="22">
      <c r="A22" s="18" t="inlineStr">
        <is>
          <t>Mức độ phát hiện</t>
        </is>
      </c>
      <c r="B22" s="18" t="inlineStr">
        <is>
          <t>Tổng</t>
        </is>
      </c>
      <c r="C22" s="18" t="inlineStr">
        <is>
          <t>Còn mở</t>
        </is>
      </c>
    </row>
    <row r="23">
      <c r="A23" s="17" t="inlineStr">
        <is>
          <t>High</t>
        </is>
      </c>
      <c r="B23" s="17">
        <f>COUNTIF('Phát hiện chi tiết'!$B$2:$B$15,A23)</f>
        <v/>
      </c>
      <c r="C23" s="17">
        <f>COUNTIFS('Phát hiện chi tiết'!$B$2:$B$15,A23,'Phát hiện chi tiết'!$H$2:$H$15,"&lt;&gt;Closed")</f>
        <v/>
      </c>
    </row>
    <row r="24">
      <c r="A24" s="17" t="inlineStr">
        <is>
          <t>Medium</t>
        </is>
      </c>
      <c r="B24" s="17">
        <f>COUNTIF('Phát hiện chi tiết'!$B$2:$B$15,A24)</f>
        <v/>
      </c>
      <c r="C24" s="17">
        <f>COUNTIFS('Phát hiện chi tiết'!$B$2:$B$15,A24,'Phát hiện chi tiết'!$H$2:$H$15,"&lt;&gt;Closed")</f>
        <v/>
      </c>
    </row>
    <row r="25">
      <c r="A25" s="17" t="inlineStr">
        <is>
          <t>Low</t>
        </is>
      </c>
      <c r="B25" s="17">
        <f>COUNTIF('Phát hiện chi tiết'!$B$2:$B$15,A25)</f>
        <v/>
      </c>
      <c r="C25" s="17">
        <f>COUNTIFS('Phát hiện chi tiết'!$B$2:$B$15,A25,'Phát hiện chi tiết'!$H$2:$H$15,"&lt;&gt;Closed")</f>
        <v/>
      </c>
    </row>
    <row r="26">
      <c r="A26" s="17" t="n"/>
      <c r="B26" s="17" t="n"/>
      <c r="C26" s="17" t="n"/>
    </row>
    <row r="27">
      <c r="A27" s="15" t="inlineStr">
        <is>
          <t>Kết luận</t>
        </is>
      </c>
      <c r="B27" s="17">
        <f>IF(AND(B12=0,C23=0),"Sẵn sàng phê duyệt","Chưa sẵn sàng phê duyệt – còn tiêu chí Chưa đạt hoặc phát hiện High đang mở")</f>
        <v/>
      </c>
      <c r="C27" s="17" t="n"/>
    </row>
    <row r="28">
      <c r="A28" s="15" t="inlineStr">
        <is>
          <t>Nhận xét</t>
        </is>
      </c>
      <c r="B28" s="17" t="inlineStr">
        <is>
          <t>BRD có cấu trúc đầy đủ theo IEEE 29148 và truy vết tốt, đủ để đưa ra review. v0.2 đã đóng các lỗi soạn thảo (DEF-004, DEF-005, DEF-008, DEF-012). Điểm chặn còn lại:mục tiêu chưa có baseline/target và ROI (DEF-001), thiếu yêu cầu tuân thủ/bảo vệ dữ liệu (DEF-002), chưa có persona người dùng (DEF-009) và kỳ vọng về mức sẵn sàng (DEF-003). Phần lớn phụ thuộc vào việc PO/IT-Security chốt các OQ.</t>
        </is>
      </c>
      <c r="C28" s="17" t="n"/>
    </row>
    <row r="29">
      <c r="A29" s="17" t="n"/>
      <c r="B29" s="17" t="n"/>
      <c r="C29" s="17" t="n"/>
    </row>
    <row r="30">
      <c r="A30" s="15" t="inlineStr">
        <is>
          <t>Quy ước</t>
        </is>
      </c>
      <c r="B30" s="17" t="n"/>
      <c r="C30" s="17" t="n"/>
    </row>
    <row r="31">
      <c r="A31" s="17" t="inlineStr">
        <is>
          <t>Đạt → Done</t>
        </is>
      </c>
      <c r="B31" s="17" t="inlineStr">
        <is>
          <t>Tiêu chí được đáp ứng, không cần hành động bắt buộc.</t>
        </is>
      </c>
      <c r="C31" s="17" t="n"/>
    </row>
    <row r="32">
      <c r="A32" s="17" t="inlineStr">
        <is>
          <t>Đạt một phần → In Progress</t>
        </is>
      </c>
      <c r="B32" s="17" t="inlineStr">
        <is>
          <t>Đã có nội dung nhưng còn thiếu; xem cột Notes / Action Items.</t>
        </is>
      </c>
      <c r="C32" s="17" t="n"/>
    </row>
    <row r="33">
      <c r="A33" s="17" t="inlineStr">
        <is>
          <t>Chưa đạt → Pending</t>
        </is>
      </c>
      <c r="B33" s="17" t="inlineStr">
        <is>
          <t>Nội dung chưa có hoặc chưa dùng được; cần bổ sung trước khi phê duyệt.</t>
        </is>
      </c>
      <c r="C33" s="17" t="n"/>
    </row>
    <row r="34">
      <c r="A34" s="17" t="inlineStr">
        <is>
          <t>Cột cần cập nhật khi xử lý</t>
        </is>
      </c>
      <c r="B34" s="17" t="inlineStr">
        <is>
          <t>Sheet checklist: cột D, E, F. Sheet 'Phát hiện chi tiết': cột H (Open / In Progress / Closed).</t>
        </is>
      </c>
      <c r="C34" s="17" t="n"/>
    </row>
  </sheetData>
  <pageMargins left="0.75" right="0.75" top="1" bottom="1" header="0.5" footer="0.5"/>
</worksheet>
</file>

<file path=xl/worksheets/sheet2.xml><?xml version="1.0" encoding="utf-8"?>
<worksheet xmlns="http://schemas.openxmlformats.org/spreadsheetml/2006/main">
  <sheetPr>
    <outlinePr applyStyles="0" summaryBelow="1" summaryRight="1" showOutlineSymbols="1"/>
    <pageSetUpPr autoPageBreaks="1" fitToPage="0"/>
  </sheetPr>
  <dimension ref="A1:G21"/>
  <sheetViews>
    <sheetView topLeftCell="A1" zoomScale="100" workbookViewId="0">
      <pane xSplit="2" ySplit="1" topLeftCell="C2" activePane="bottomRight" state="frozen"/>
      <selection pane="topRight"/>
      <selection pane="bottomLeft"/>
      <selection pane="bottomRight" activeCell="A1" activeCellId="0" sqref="A1"/>
    </sheetView>
  </sheetViews>
  <sheetFormatPr baseColWidth="8" defaultRowHeight="14.25"/>
  <cols>
    <col width="32" customWidth="1" style="1" min="1" max="1"/>
    <col width="28" customWidth="1" min="2" max="2"/>
    <col width="68" customWidth="1" min="3" max="3"/>
    <col width="16" customWidth="1" min="4" max="4"/>
    <col width="70" customWidth="1" min="5" max="5"/>
    <col width="18" customWidth="1" min="6" max="6"/>
    <col width="34" customWidth="1" min="7" max="7"/>
  </cols>
  <sheetData>
    <row r="1">
      <c r="A1" s="2" t="inlineStr">
        <is>
          <t>Category</t>
        </is>
      </c>
      <c r="B1" s="2" t="inlineStr">
        <is>
          <t>Checklist Item</t>
        </is>
      </c>
      <c r="C1" s="2" t="inlineStr">
        <is>
          <t>Description / Question</t>
        </is>
      </c>
      <c r="D1" s="3" t="inlineStr">
        <is>
          <t>Status</t>
        </is>
      </c>
      <c r="E1" s="2" t="inlineStr">
        <is>
          <t>Notes / Action Items</t>
        </is>
      </c>
      <c r="F1" s="2" t="inlineStr">
        <is>
          <t>Kết quả đánh giá</t>
        </is>
      </c>
      <c r="G1" s="2" t="inlineStr">
        <is>
          <t>Tham chiếu trong BRD</t>
        </is>
      </c>
    </row>
    <row r="2" ht="28.5" customHeight="1">
      <c r="A2" s="21" t="inlineStr">
        <is>
          <t>1. Document &amp; Business Overview</t>
        </is>
      </c>
      <c r="B2" s="5" t="inlineStr">
        <is>
          <t>Business Purpose &amp; Drivers</t>
        </is>
      </c>
      <c r="C2" s="6" t="inlineStr">
        <is>
          <t>Does the BRD clearly articulate the core business problem, opportunity, or strategic drivers behind the project?</t>
        </is>
      </c>
      <c r="D2" s="7" t="inlineStr">
        <is>
          <t>In Progress</t>
        </is>
      </c>
      <c r="E2" s="22" t="inlineStr">
        <is>
          <t>Vấn đề, nguyên nhân gốc và lý do làm ngay đã nêu, có trích nguồn SRC-001/008/012. Thiếu lượng hóa tác động (giờ công/tuần, số lần tra cứu) – đang [TBD: OQ-008].
Hành động: BA phỏng vấn người dùng (SRC-003), đo baseline, cập nhật 4.2 và 4.3.4.</t>
        </is>
      </c>
      <c r="F2" s="23" t="inlineStr">
        <is>
          <t>Đạt một phần</t>
        </is>
      </c>
      <c r="G2" s="22" t="inlineStr">
        <is>
          <t>4.2, 4.3.1–4.3.6; OQ-008</t>
        </is>
      </c>
    </row>
    <row r="3" ht="28.5" customHeight="1">
      <c r="A3" s="24" t="n"/>
      <c r="B3" s="9" t="inlineStr">
        <is>
          <t>Business Objectives &amp; Success Metrics</t>
        </is>
      </c>
      <c r="C3" s="6" t="inlineStr">
        <is>
          <t>Are key performance indicators (KPIs), ROI expectations, and measurable business success criteria explicitly defined?</t>
        </is>
      </c>
      <c r="D3" s="7" t="inlineStr">
        <is>
          <t>Pending</t>
        </is>
      </c>
      <c r="E3" s="22" t="inlineStr">
        <is>
          <t>KPI MET-001…MET-006 có định nghĩa, công thức, nguồn dữ liệu, owner. Nhưng baseline và target của MET-001…MET-005 đều [TBD]; không có kỳ vọng ROI / chi phí – lợi ích. Theo IEEE 29148, mục tiêu không có baseline + target chưa hợp lệ.
Hành động: PO chốt OQ-008, OQ-009; bổ sung ước tính ROI (giờ công tiết kiệm × chi phí giờ công so với chi phí MVP + vận hành AI) sau khi có OQ-015.</t>
        </is>
      </c>
      <c r="F3" s="23" t="inlineStr">
        <is>
          <t>Chưa đạt</t>
        </is>
      </c>
      <c r="G3" s="22" t="inlineStr">
        <is>
          <t>4.4; MET-001…MET-006; OQ-008, OQ-009, OQ-015</t>
        </is>
      </c>
    </row>
    <row r="4" ht="28.5" customHeight="1">
      <c r="A4" s="24" t="n"/>
      <c r="B4" s="9" t="inlineStr">
        <is>
          <t>Scope &amp; Boundaries</t>
        </is>
      </c>
      <c r="C4" s="6" t="inlineStr">
        <is>
          <t>Are the project in-scope items, explicit out-of-scope items, and operational boundaries unambiguously detailed?</t>
        </is>
      </c>
      <c r="D4" s="7" t="inlineStr">
        <is>
          <t>Done</t>
        </is>
      </c>
      <c r="E4" s="22" t="inlineStr">
        <is>
          <t>Có đủ In scope, Out of scope (kèm lý do), Deferred và Boundaries (điểm bắt đầu/kết thúc). Còn mở: ngôn ngữ/địa lý [TBD: OQ-011] – không ảnh hưởng tính rõ ràng của ranh giới.</t>
        </is>
      </c>
      <c r="F4" s="23" t="inlineStr">
        <is>
          <t>Đạt</t>
        </is>
      </c>
      <c r="G4" s="22" t="inlineStr">
        <is>
          <t>4.5; OQ-011</t>
        </is>
      </c>
    </row>
    <row r="5" ht="28.5" customHeight="1">
      <c r="A5" s="25" t="n"/>
      <c r="B5" s="9" t="inlineStr">
        <is>
          <t>Vision Statement</t>
        </is>
      </c>
      <c r="C5" s="6" t="inlineStr">
        <is>
          <t>Is there a concise high-level vision statement aligning the project with organizational strategy according to IEEE 29148?</t>
        </is>
      </c>
      <c r="D5" s="7" t="inlineStr">
        <is>
          <t>In Progress</t>
        </is>
      </c>
      <c r="E5" s="22" t="inlineStr">
        <is>
          <t>[v0.2] Đã thêm câu Tầm nhìn ở đầu 4.2 (DEF-011). Còn thiếu liên kết với mục tiêu chiến lược của tổ chức – đã tạo OQ-019 cho Executive sponsor.
Hành động: Sponsor trả lời OQ-019, cập nhật câu tầm nhìn.</t>
        </is>
      </c>
      <c r="F5" s="23" t="inlineStr">
        <is>
          <t>Đạt một phần</t>
        </is>
      </c>
      <c r="G5" s="22" t="inlineStr">
        <is>
          <t>4.2 Tầm nhìn; OQ-019</t>
        </is>
      </c>
    </row>
    <row r="6" ht="28.5" customHeight="1">
      <c r="A6" s="26" t="inlineStr">
        <is>
          <t>2. Stakeholder &amp; User Analysis</t>
        </is>
      </c>
      <c r="B6" s="5" t="inlineStr">
        <is>
          <t>Stakeholder Identification</t>
        </is>
      </c>
      <c r="C6" s="6" t="inlineStr">
        <is>
          <t>Are all key internal and external stakeholders, business sponsors, and user classes fully identified and categorized?</t>
        </is>
      </c>
      <c r="D6" s="7" t="inlineStr">
        <is>
          <t>In Progress</t>
        </is>
      </c>
      <c r="E6" s="22" t="inlineStr">
        <is>
          <t>9 nhóm stakeholder (STK-001…009) gồm cả nhóm có thể chặn go-live (IT/Security, chủ sở hữu tài liệu). Thiếu: (1) tên người cụ thể cho mọi vai trò (OQ-007); (2) nhà cung cấp AI chưa được liệt kê như stakeholder bên ngoài (chỉ có trong DEP-001); (3) chưa phân lớp người dùng (vd. người tải lên vs. người chỉ hỏi đáp nếu tài liệu dùng chung – OQ-002).
Hành động: bổ sung STK cho nhà cung cấp AI; tách user class sau khi chốt OQ-001/002.</t>
        </is>
      </c>
      <c r="F6" s="23" t="inlineStr">
        <is>
          <t>Đạt một phần</t>
        </is>
      </c>
      <c r="G6" s="22" t="inlineStr">
        <is>
          <t>4.6; STK-001…STK-009; OQ-001, OQ-002, OQ-007</t>
        </is>
      </c>
    </row>
    <row r="7" ht="28.5" customHeight="1">
      <c r="A7" s="24" t="n"/>
      <c r="B7" s="9" t="inlineStr">
        <is>
          <t>User Personas &amp; Profile Characteristics</t>
        </is>
      </c>
      <c r="C7" s="6" t="inlineStr">
        <is>
          <t>Are target user profiles, business roles, operational contexts, and domain experience levels adequately specified?</t>
        </is>
      </c>
      <c r="D7" s="7" t="inlineStr">
        <is>
          <t>Pending</t>
        </is>
      </c>
      <c r="E7" s="22" t="inlineStr">
        <is>
          <t>Chỉ có một nhóm 'đội phát triển kinh doanh'. Không có persona, bối cảnh sử dụng (tần suất tra cứu, loại tài liệu, thiết bị, nơi làm việc), mức hiểu biết nghiệp vụ/công nghệ, số lượng người dùng (OQ-010).
Hành động: BA lập 1–2 persona từ phỏng vấn người dùng (SRC-003), thêm vào 4.6 hoặc phụ lục.</t>
        </is>
      </c>
      <c r="F7" s="23" t="inlineStr">
        <is>
          <t>Chưa đạt</t>
        </is>
      </c>
      <c r="G7" s="22" t="inlineStr">
        <is>
          <t>4.6; OQ-010; SRC-003</t>
        </is>
      </c>
    </row>
    <row r="8" ht="28.5" customHeight="1">
      <c r="A8" s="25" t="n"/>
      <c r="B8" s="9" t="inlineStr">
        <is>
          <t>Business Constraints</t>
        </is>
      </c>
      <c r="C8" s="6" t="inlineStr">
        <is>
          <t>Are organizational, financial, regulatory, time-to-market, and strategic business constraints documented?</t>
        </is>
      </c>
      <c r="D8" s="7" t="inlineStr">
        <is>
          <t>In Progress</t>
        </is>
      </c>
      <c r="E8" s="22" t="inlineStr">
        <is>
          <t>Ràng buộc tổ chức và thời gian đã ghi (CON-001…CON-005). Ràng buộc tài chính (CON-006) và pháp lý/chính sách dữ liệu (CON-007) mới chỉ là placeholder [TBD].
Hành động: Sponsor chốt ngân sách/hạn chót (OQ-015); IT/Security cung cấp chính sách (SRC-006).</t>
        </is>
      </c>
      <c r="F8" s="23" t="inlineStr">
        <is>
          <t>Đạt một phần</t>
        </is>
      </c>
      <c r="G8" s="22" t="inlineStr">
        <is>
          <t>4.9; CON-001…CON-007; OQ-015, OQ-005</t>
        </is>
      </c>
    </row>
    <row r="9" ht="28.5" customHeight="1">
      <c r="A9" s="21" t="inlineStr">
        <is>
          <t>3. Business Process &amp; Operational Concept</t>
        </is>
      </c>
      <c r="B9" s="5" t="inlineStr">
        <is>
          <t>Current State ('As-Is') Workflow</t>
        </is>
      </c>
      <c r="C9" s="6" t="inlineStr">
        <is>
          <t>Is the existing business workflow/process documented to provide context for the proposed changes?</t>
        </is>
      </c>
      <c r="D9" s="7" t="inlineStr">
        <is>
          <t>Done</t>
        </is>
      </c>
      <c r="E9" s="22" t="inlineStr">
        <is>
          <t>Có mô tả và sơ đồ Mermaid quy trình As-Is. Lưu ý: quy trình được suy ra từ tài liệu intake, chưa xác nhận qua phỏng vấn người dùng (SRC-003) – cần xác nhận khi review.</t>
        </is>
      </c>
      <c r="F9" s="23" t="inlineStr">
        <is>
          <t>Đạt</t>
        </is>
      </c>
      <c r="G9" s="22" t="inlineStr">
        <is>
          <t>4.3.1</t>
        </is>
      </c>
    </row>
    <row r="10" ht="28.5" customHeight="1">
      <c r="A10" s="24" t="n"/>
      <c r="B10" s="9" t="inlineStr">
        <is>
          <t>Target State ('To-Be') Workflow</t>
        </is>
      </c>
      <c r="C10" s="6" t="inlineStr">
        <is>
          <t>Is the proposed business process model clearly illustrated, highlighting improvements, automation, or structural changes?</t>
        </is>
      </c>
      <c r="D10" s="7" t="inlineStr">
        <is>
          <t>Done</t>
        </is>
      </c>
      <c r="E10" s="22" t="inlineStr">
        <is>
          <t>Có sơ đồ To-Be thể hiện các cải tiến: xử lý tự động, trạng thái tài liệu, câu trả lời tổng hợp kèm nguồn, từ chối khi thiếu thông tin.</t>
        </is>
      </c>
      <c r="F10" s="23" t="inlineStr">
        <is>
          <t>Đạt</t>
        </is>
      </c>
      <c r="G10" s="22" t="inlineStr">
        <is>
          <t>4.3.2</t>
        </is>
      </c>
    </row>
    <row r="11" ht="28.5" customHeight="1">
      <c r="A11" s="25" t="n"/>
      <c r="B11" s="9" t="inlineStr">
        <is>
          <t>Operational Scenario &amp; Use Cases</t>
        </is>
      </c>
      <c r="C11" s="6" t="inlineStr">
        <is>
          <t>Are high-level business scenarios and primary business use cases described from the end-user/business perspective?</t>
        </is>
      </c>
      <c r="D11" s="7" t="inlineStr">
        <is>
          <t>In Progress</t>
        </is>
      </c>
      <c r="E11" s="22" t="inlineStr">
        <is>
          <t>Luồng chính được mô tả qua sơ đồ To-Be và 29 AC. Chưa có kịch bản nghiệp vụ cụ thể từ góc nhìn người dùng (vd. 'chuẩn bị đề xuất cho khách hàng cần tra chính sách giá trong 3 tài liệu').
Hành động: thêm 3–5 kịch bản nghiệp vụ vào phụ lục; dùng chúng làm cơ sở cho bộ câu hỏi kiểm thử (DEP-005).</t>
        </is>
      </c>
      <c r="F11" s="23" t="inlineStr">
        <is>
          <t>Đạt một phần</t>
        </is>
      </c>
      <c r="G11" s="22" t="inlineStr">
        <is>
          <t>4.3.2, 4.7.8; DEP-005</t>
        </is>
      </c>
    </row>
    <row r="12" ht="28.5" customHeight="1">
      <c r="A12" s="26" t="inlineStr">
        <is>
          <t>4. Business &amp; High-Level Functional Requirements</t>
        </is>
      </c>
      <c r="B12" s="5" t="inlineStr">
        <is>
          <t>Singularity &amp; Clarity</t>
        </is>
      </c>
      <c r="C12" s="6" t="inlineStr">
        <is>
          <t>Is each business requirement written as a single, unambiguous statement using standardized IEEE wording (e.g., 'The system shall...')?</t>
        </is>
      </c>
      <c r="D12" s="7" t="inlineStr">
        <is>
          <t>In Progress</t>
        </is>
      </c>
      <c r="E12" s="22" t="inlineStr">
        <is>
          <t>29 BR có cú pháp shall/should, mỗi BR một ID. [v0.2] BR-022 đã viết lại thành một nghĩa vụ (DEF-005 – Closed). Còn lại: BR-013, BR-014, BR-023 phụ thuộc thuật ngữ chưa được định nghĩa ('phạm vi truy vấn', 'phạm vi quyền', ngữ cảnh câu hỏi tiếp nối) – DEF-006.
Hành động: chốt OQ-001, OQ-002, OQ-012, OQ-018 rồi cập nhật glossary.</t>
        </is>
      </c>
      <c r="F12" s="23" t="inlineStr">
        <is>
          <t>Đạt một phần</t>
        </is>
      </c>
      <c r="G12" s="22" t="inlineStr">
        <is>
          <t>4.7; BR-013, BR-014, BR-022, BR-023; DEF-005, DEF-006</t>
        </is>
      </c>
    </row>
    <row r="13" ht="28.5" customHeight="1">
      <c r="A13" s="24" t="n"/>
      <c r="B13" s="9" t="inlineStr">
        <is>
          <t>Completeness &amp; Implementation-Free</t>
        </is>
      </c>
      <c r="C13" s="6" t="inlineStr">
        <is>
          <t>Are business requirements complete and stated purely in terms of business capabilities rather than technical design/implementation details?</t>
        </is>
      </c>
      <c r="D13" s="7" t="inlineStr">
        <is>
          <t>In Progress</t>
        </is>
      </c>
      <c r="E13" s="22" t="inlineStr">
        <is>
          <t>Các BR không chứa thiết kế kỹ thuật (công nghệ chỉ xuất hiện như ràng buộc CON-001). Chưa đầy đủ: thiếu BR về lưu giữ/xóa dữ liệu (OQ-004), về xử lý dữ liệu gửi tới bên thứ ba (OQ-005, SN-010), về vận hành/hỗ trợ (SN-014, OQ-016). 6 BR Must còn ngưỡng [TBD].
Hành động: bổ sung BR sau khi chốt các OQ trên.</t>
        </is>
      </c>
      <c r="F13" s="23" t="inlineStr">
        <is>
          <t>Đạt một phần</t>
        </is>
      </c>
      <c r="G13" s="22" t="inlineStr">
        <is>
          <t>4.7, 4.11 (báo cáo bao phủ); DEF-001, DEF-007</t>
        </is>
      </c>
    </row>
    <row r="14" ht="28.5" customHeight="1">
      <c r="A14" s="24" t="n"/>
      <c r="B14" s="9" t="inlineStr">
        <is>
          <t>Traceability &amp; Rationale</t>
        </is>
      </c>
      <c r="C14" s="6" t="inlineStr">
        <is>
          <t>Does each requirement include a clear business justification/rationale and a unique identifier for downstream requirements tracing?</t>
        </is>
      </c>
      <c r="D14" s="7" t="inlineStr">
        <is>
          <t>Done</t>
        </is>
      </c>
      <c r="E14" s="22" t="inlineStr">
        <is>
          <t>Mọi BR có ID, lý do, nguồn, AC và phương pháp kiểm chứng; có ma trận truy vết hai chiều. [v0.2] Đã viết lại lý do của BR-005, BR-006, BR-010, BR-012, BR-014 (DEF-008); thêm BO-006/MET-007 và bảng ánh xạ SN → BO, mọi BR nay truy vết tới BO (DEF-012). Cột PRD/SRS để TBD là đúng giai đoạn.</t>
        </is>
      </c>
      <c r="F14" s="23" t="inlineStr">
        <is>
          <t>Đạt</t>
        </is>
      </c>
      <c r="G14" s="22" t="inlineStr">
        <is>
          <t>4.7, 4.11; DEF-008, DEF-012</t>
        </is>
      </c>
    </row>
    <row r="15" ht="28.5" customHeight="1">
      <c r="A15" s="25" t="n"/>
      <c r="B15" s="9" t="inlineStr">
        <is>
          <t>Feasibility &amp; Realism</t>
        </is>
      </c>
      <c r="C15" s="6" t="inlineStr">
        <is>
          <t>Are all business requirements achievable within the known business context, operational constraints, and technology capability?</t>
        </is>
      </c>
      <c r="D15" s="7" t="inlineStr">
        <is>
          <t>In Progress</t>
        </is>
      </c>
      <c r="E15" s="22" t="inlineStr">
        <is>
          <t>Chưa đánh giá được đầy đủ vì ngân sách/timeline chưa có (OQ-015) và tính khả thi phụ thuộc ASM-001, ASM-003, ASM-004 chưa kiểm chứng. [v0.2] AC-015 đã bỏ yêu cầu tuyệt đối 0%, thống nhất với ngưỡng % của MET-005 (DEF-004 – Closed).
Hành động: kiểm chứng ASM-001, ASM-003, ASM-004 với PDF mẫu; chốt OQ-015.</t>
        </is>
      </c>
      <c r="F15" s="23" t="inlineStr">
        <is>
          <t>Đạt một phần</t>
        </is>
      </c>
      <c r="G15" s="22" t="inlineStr">
        <is>
          <t>4.10 ASM-001, ASM-003, ASM-004; AC-015; DEF-004</t>
        </is>
      </c>
    </row>
    <row r="16" ht="28.5" customHeight="1">
      <c r="A16" s="21" t="inlineStr">
        <is>
          <t>5. Business Quality &amp; Non-Functional Attributes</t>
        </is>
      </c>
      <c r="B16" s="5" t="inlineStr">
        <is>
          <t>Compliance &amp; Regulatory Standards</t>
        </is>
      </c>
      <c r="C16" s="6" t="inlineStr">
        <is>
          <t>Are legal, regulatory, compliance, data privacy (e.g., GDPR, HIPAA), and auditability requirements fully identified?</t>
        </is>
      </c>
      <c r="D16" s="7" t="inlineStr">
        <is>
          <t>Pending</t>
        </is>
      </c>
      <c r="E16" s="22" t="inlineStr">
        <is>
          <t>BRD không có yêu cầu pháp lý/tuân thủ, quyền riêng tư dữ liệu hay khả năng kiểm toán (ai tải lên, ai hỏi gì, khi nào). Chỉ có rủi ro RSK-002 và CON-007 dạng placeholder. Tài liệu kinh doanh có thể chứa dữ liệu cá nhân của khách hàng/đối tác.
Hành động: IT/Security/Pháp chế xác định văn bản áp dụng (vd. quy định bảo vệ dữ liệu cá nhân của Việt Nam đang hiện hành) và yêu cầu audit log; thêm BR/CON tương ứng hoặc ghi rõ 'không áp dụng' kèm lý do.</t>
        </is>
      </c>
      <c r="F16" s="23" t="inlineStr">
        <is>
          <t>Chưa đạt</t>
        </is>
      </c>
      <c r="G16" s="22" t="inlineStr">
        <is>
          <t>4.9 CON-007; 4.10 RSK-002; DEF-002</t>
        </is>
      </c>
    </row>
    <row r="17" ht="28.5" customHeight="1">
      <c r="A17" s="24" t="n"/>
      <c r="B17" s="9" t="inlineStr">
        <is>
          <t>Business Continuity &amp; Availability</t>
        </is>
      </c>
      <c r="C17" s="6" t="inlineStr">
        <is>
          <t>Are business impact expectations for system downtime, recovery time objectives (RTO), and availability targets defined?</t>
        </is>
      </c>
      <c r="D17" s="7" t="inlineStr">
        <is>
          <t>Pending</t>
        </is>
      </c>
      <c r="E17" s="22" t="inlineStr">
        <is>
          <t>Không có kỳ vọng về thời gian hoạt động, mức sẵn sàng, thời gian gián đoạn chấp nhận được hay RTO. Template BRD yêu cầu nếu không áp dụng phải nêu lý do.
Hành động: PO quyết định mức sẵn sàng tối thiểu cho MVP (vd. giờ hành chính) hoặc ghi rõ 'ngoài phạm vi MVP' kèm lý do.</t>
        </is>
      </c>
      <c r="F17" s="23" t="inlineStr">
        <is>
          <t>Chưa đạt</t>
        </is>
      </c>
      <c r="G17" s="22" t="inlineStr">
        <is>
          <t>Không có; DEF-003</t>
        </is>
      </c>
    </row>
    <row r="18" ht="28.5" customHeight="1">
      <c r="A18" s="25" t="n"/>
      <c r="B18" s="9" t="inlineStr">
        <is>
          <t>Security &amp; Business Policy Constraints</t>
        </is>
      </c>
      <c r="C18" s="6" t="inlineStr">
        <is>
          <t>Are high-level security, access control guidelines, and business policy enforcement rules established?</t>
        </is>
      </c>
      <c r="D18" s="7" t="inlineStr">
        <is>
          <t>In Progress</t>
        </is>
      </c>
      <c r="E18" s="22" t="inlineStr">
        <is>
          <t>Có BR-022, BR-023 và BRU-006 về kiểm soát truy cập, nhưng định nghĩa 'phạm vi quyền' còn [TBD] (OQ-001, OQ-002). Thiếu quy tắc chính sách về lưu giữ/xóa dữ liệu (OQ-004) và điều kiện gửi nội dung tới nhà cung cấp AI bên ngoài (OQ-005).</t>
        </is>
      </c>
      <c r="F18" s="23" t="inlineStr">
        <is>
          <t>Đạt một phần</t>
        </is>
      </c>
      <c r="G18" s="22" t="inlineStr">
        <is>
          <t>4.7.6, 4.8 BRU-006; OQ-001, OQ-002, OQ-004, OQ-005</t>
        </is>
      </c>
    </row>
    <row r="19" ht="28.5" customHeight="1">
      <c r="A19" s="26" t="inlineStr">
        <is>
          <t>6. Assumptions, Dependencies &amp; Risks</t>
        </is>
      </c>
      <c r="B19" s="5" t="inlineStr">
        <is>
          <t>Business Assumptions</t>
        </is>
      </c>
      <c r="C19" s="6" t="inlineStr">
        <is>
          <t>Are all critical underlying business assumptions, facts, and expectations explicitly stated?</t>
        </is>
      </c>
      <c r="D19" s="7" t="inlineStr">
        <is>
          <t>Done</t>
        </is>
      </c>
      <c r="E19" s="22" t="inlineStr">
        <is>
          <t>ASM-001…ASM-004 có tác động nếu sai, owner, cách xác nhận và hạn. Đề xuất bổ sung: giả định doanh nghiệp được phép tải tài liệu nội bộ lên công cụ và giả định ngôn ngữ tài liệu (hiện chỉ là OQ-011).</t>
        </is>
      </c>
      <c r="F19" s="23" t="inlineStr">
        <is>
          <t>Đạt</t>
        </is>
      </c>
      <c r="G19" s="22" t="inlineStr">
        <is>
          <t>4.10 ASM-001…ASM-004</t>
        </is>
      </c>
    </row>
    <row r="20" ht="28.5" customHeight="1">
      <c r="A20" s="24" t="n"/>
      <c r="B20" s="9" t="inlineStr">
        <is>
          <t>Dependencies &amp; Constraints</t>
        </is>
      </c>
      <c r="C20" s="6" t="inlineStr">
        <is>
          <t>Are interdependencies with other business initiatives, third-party services, legacy systems, or vendor deliveries mapped?</t>
        </is>
      </c>
      <c r="D20" s="7" t="inlineStr">
        <is>
          <t>Done</t>
        </is>
      </c>
      <c r="E20" s="22" t="inlineStr">
        <is>
          <t>DEP-001…DEP-005 bao gồm nhà cung cấp AI, chính sách bảo mật, PDF mẫu, chỉ định PO, bộ câu hỏi kiểm thử. Đã nêu không có chương trình liền kề. Hệ thống cũ: không áp dụng (sản phẩm mới).</t>
        </is>
      </c>
      <c r="F20" s="23" t="inlineStr">
        <is>
          <t>Đạt</t>
        </is>
      </c>
      <c r="G20" s="22" t="inlineStr">
        <is>
          <t>4.10 DEP-001…DEP-005; 4.5 Ranh giới</t>
        </is>
      </c>
    </row>
    <row r="21" ht="28.5" customHeight="1">
      <c r="A21" s="25" t="n"/>
      <c r="B21" s="9" t="inlineStr">
        <is>
          <t>Business Risks &amp; Mitigation</t>
        </is>
      </c>
      <c r="C21" s="6" t="inlineStr">
        <is>
          <t>Are major business risks identified along with potential mitigation strategies and contingency plans?</t>
        </is>
      </c>
      <c r="D21" s="7" t="inlineStr">
        <is>
          <t>In Progress</t>
        </is>
      </c>
      <c r="E21" s="22" t="inlineStr">
        <is>
          <t>8 rủi ro (RSK-001…008) có mô tả nguyên nhân → sự kiện → tác động, mức độ, owner và biện pháp giảm thiểu. Chưa có kế hoạch dự phòng (contingency), vd. RSK-002 xảy ra thì xử lý thế nào, RSK-003 tỷ lệ PDF scan cao thì có đưa OCR vào phạm vi không.
Hành động: thêm cột/ghi chú contingency cho các rủi ro High và Medium.</t>
        </is>
      </c>
      <c r="F21" s="23" t="inlineStr">
        <is>
          <t>Đạt một phần</t>
        </is>
      </c>
      <c r="G21" s="22" t="inlineStr">
        <is>
          <t>4.10 RSK-001…RSK-008; DEF-010</t>
        </is>
      </c>
    </row>
  </sheetData>
  <mergeCells count="6">
    <mergeCell ref="A16:A18"/>
    <mergeCell ref="A2:A5"/>
    <mergeCell ref="A12:A15"/>
    <mergeCell ref="A19:A21"/>
    <mergeCell ref="A6:A8"/>
    <mergeCell ref="A9:A11"/>
  </mergeCells>
  <conditionalFormatting sqref="F2:F21">
    <cfRule type="cellIs" priority="1" operator="equal" dxfId="0">
      <formula>"Đạt"</formula>
    </cfRule>
    <cfRule type="cellIs" priority="2" operator="equal" dxfId="1">
      <formula>"Đạt một phần"</formula>
    </cfRule>
    <cfRule type="cellIs" priority="3" operator="equal" dxfId="2">
      <formula>"Chưa đạt"</formula>
    </cfRule>
  </conditionalFormatting>
  <dataValidations count="2">
    <dataValidation sqref="D2:D21" showDropDown="0" showInputMessage="0" showErrorMessage="0" allowBlank="1" errorTitle="Invalid Entry" error="Your entry is not in the list" promptTitle="Status Selection" prompt="Please select from the list" type="list">
      <formula1>"Pending,In Progress,Done,N/A"</formula1>
    </dataValidation>
    <dataValidation sqref="F2:F21" showDropDown="0" showInputMessage="0" showErrorMessage="0" allowBlank="1" type="list">
      <formula1>"Đạt,Đạt một phần,Chưa đạt,Không áp dụng"</formula1>
    </dataValidation>
  </dataValidation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0" customWidth="1" min="3" max="3"/>
    <col width="30" customWidth="1" min="4" max="4"/>
    <col width="60" customWidth="1" min="5" max="5"/>
    <col width="55" customWidth="1" min="6" max="6"/>
    <col width="14" customWidth="1" min="7" max="7"/>
    <col width="12" customWidth="1" min="8" max="8"/>
  </cols>
  <sheetData>
    <row r="1">
      <c r="A1" s="27" t="inlineStr">
        <is>
          <t>ID</t>
        </is>
      </c>
      <c r="B1" s="27" t="inlineStr">
        <is>
          <t>Mức độ</t>
        </is>
      </c>
      <c r="C1" s="27" t="inlineStr">
        <is>
          <t>Tiêu chí checklist</t>
        </is>
      </c>
      <c r="D1" s="27" t="inlineStr">
        <is>
          <t>Mục / ID trong BRD</t>
        </is>
      </c>
      <c r="E1" s="27" t="inlineStr">
        <is>
          <t>Phát hiện</t>
        </is>
      </c>
      <c r="F1" s="27" t="inlineStr">
        <is>
          <t>Khuyến nghị</t>
        </is>
      </c>
      <c r="G1" s="27" t="inlineStr">
        <is>
          <t>Owner</t>
        </is>
      </c>
      <c r="H1" s="27" t="inlineStr">
        <is>
          <t>Trạng thái</t>
        </is>
      </c>
    </row>
    <row r="2">
      <c r="A2" s="28" t="inlineStr">
        <is>
          <t>DEF-001</t>
        </is>
      </c>
      <c r="B2" s="28" t="inlineStr">
        <is>
          <t>High</t>
        </is>
      </c>
      <c r="C2" s="28" t="inlineStr">
        <is>
          <t>Business Objectives &amp; Success Metrics</t>
        </is>
      </c>
      <c r="D2" s="28" t="inlineStr">
        <is>
          <t>4.4; MET-001…MET-005; BR-002, BR-004, BR-016, BR-025, BR-026</t>
        </is>
      </c>
      <c r="E2" s="28" t="inlineStr">
        <is>
          <t>Baseline và target của 5 metric và ngưỡng của 6 BR Must đang [TBD]. Các BR/AC này chưa nghiệm thu được khách quan.</t>
        </is>
      </c>
      <c r="F2" s="28" t="inlineStr">
        <is>
          <t>PO chốt OQ-003, OQ-006, OQ-008, OQ-009; cập nhật BR/AC trước khi baseline BRD.</t>
        </is>
      </c>
      <c r="G2" s="28" t="inlineStr">
        <is>
          <t>PO</t>
        </is>
      </c>
      <c r="H2" s="28" t="inlineStr">
        <is>
          <t>Open</t>
        </is>
      </c>
    </row>
    <row r="3">
      <c r="A3" s="28" t="inlineStr">
        <is>
          <t>DEF-002</t>
        </is>
      </c>
      <c r="B3" s="28" t="inlineStr">
        <is>
          <t>High</t>
        </is>
      </c>
      <c r="C3" s="28" t="inlineStr">
        <is>
          <t>Compliance &amp; Regulatory Standards</t>
        </is>
      </c>
      <c r="D3" s="28" t="inlineStr">
        <is>
          <t>4.7.6, 4.9</t>
        </is>
      </c>
      <c r="E3" s="28" t="inlineStr">
        <is>
          <t>Không có yêu cầu tuân thủ pháp lý, bảo vệ dữ liệu cá nhân và audit trail.</t>
        </is>
      </c>
      <c r="F3" s="28" t="inlineStr">
        <is>
          <t>IT/Security + Pháp chế xác định quy định áp dụng; thêm BR/CON hoặc ghi 'không áp dụng' kèm lý do.</t>
        </is>
      </c>
      <c r="G3" s="28" t="inlineStr">
        <is>
          <t>IT/Security</t>
        </is>
      </c>
      <c r="H3" s="28" t="inlineStr">
        <is>
          <t>Open</t>
        </is>
      </c>
    </row>
    <row r="4">
      <c r="A4" s="28" t="inlineStr">
        <is>
          <t>DEF-003</t>
        </is>
      </c>
      <c r="B4" s="28" t="inlineStr">
        <is>
          <t>Medium</t>
        </is>
      </c>
      <c r="C4" s="28" t="inlineStr">
        <is>
          <t>Business Continuity &amp; Availability</t>
        </is>
      </c>
      <c r="D4" s="28" t="inlineStr">
        <is>
          <t>Không có mục tương ứng</t>
        </is>
      </c>
      <c r="E4" s="28" t="inlineStr">
        <is>
          <t>Không nêu kỳ vọng sẵn sàng, thời gian gián đoạn hay RTO, cũng không nêu lý do không áp dụng.</t>
        </is>
      </c>
      <c r="F4" s="28" t="inlineStr">
        <is>
          <t>PO quyết định mức sẵn sàng tối thiểu cho MVP hoặc ghi rõ ngoài phạm vi.</t>
        </is>
      </c>
      <c r="G4" s="28" t="inlineStr">
        <is>
          <t>PO</t>
        </is>
      </c>
      <c r="H4" s="28" t="inlineStr">
        <is>
          <t>Open</t>
        </is>
      </c>
    </row>
    <row r="5">
      <c r="A5" s="28" t="inlineStr">
        <is>
          <t>DEF-004</t>
        </is>
      </c>
      <c r="B5" s="28" t="inlineStr">
        <is>
          <t>Medium</t>
        </is>
      </c>
      <c r="C5" s="28" t="inlineStr">
        <is>
          <t>Feasibility &amp; Realism</t>
        </is>
      </c>
      <c r="D5" s="28" t="inlineStr">
        <is>
          <t>AC-015, MET-005</t>
        </is>
      </c>
      <c r="E5" s="28" t="inlineStr">
        <is>
          <t>AC-015 yêu cầu 'không câu trả lời nào' trình bày thông tin ngoài tài liệu (0%), mâu thuẫn với ngưỡng % của MET-005 và khó đạt với AI.</t>
        </is>
      </c>
      <c r="F5" s="28" t="inlineStr">
        <is>
          <t>Sửa AC-015 thành ngưỡng đo được, vd. tỷ lệ câu trả lời không căn cứ ≤ [TBD]% trên bộ kiểm thử.</t>
        </is>
      </c>
      <c r="G5" s="28" t="inlineStr">
        <is>
          <t>BA</t>
        </is>
      </c>
      <c r="H5" s="28" t="inlineStr">
        <is>
          <t>Closed</t>
        </is>
      </c>
    </row>
    <row r="6">
      <c r="A6" s="28" t="inlineStr">
        <is>
          <t>DEF-005</t>
        </is>
      </c>
      <c r="B6" s="28" t="inlineStr">
        <is>
          <t>Low</t>
        </is>
      </c>
      <c r="C6" s="28" t="inlineStr">
        <is>
          <t>Singularity &amp; Clarity</t>
        </is>
      </c>
      <c r="D6" s="28" t="inlineStr">
        <is>
          <t>BR-022</t>
        </is>
      </c>
      <c r="E6" s="28" t="inlineStr">
        <is>
          <t>BR-022 gộp hai đối tượng: quyền truy cập tài liệu và quyền dùng chức năng hỏi đáp.</t>
        </is>
      </c>
      <c r="F6" s="28" t="inlineStr">
        <is>
          <t>Tách thành hai BR hoặc diễn đạt lại thành 'truy cập ứng dụng' (một nghĩa vụ).</t>
        </is>
      </c>
      <c r="G6" s="28" t="inlineStr">
        <is>
          <t>BA</t>
        </is>
      </c>
      <c r="H6" s="28" t="inlineStr">
        <is>
          <t>Closed</t>
        </is>
      </c>
    </row>
    <row r="7">
      <c r="A7" s="28" t="inlineStr">
        <is>
          <t>DEF-006</t>
        </is>
      </c>
      <c r="B7" s="28" t="inlineStr">
        <is>
          <t>Medium</t>
        </is>
      </c>
      <c r="C7" s="28" t="inlineStr">
        <is>
          <t>Singularity &amp; Clarity</t>
        </is>
      </c>
      <c r="D7" s="28" t="inlineStr">
        <is>
          <t>BR-013, BR-014, BR-023; 4.13</t>
        </is>
      </c>
      <c r="E7" s="28" t="inlineStr">
        <is>
          <t>Thuật ngữ 'phạm vi truy vấn', 'phạm vi quyền' và hành vi câu hỏi tiếp nối chưa được định nghĩa → BR có thể hiểu theo nhiều cách.</t>
        </is>
      </c>
      <c r="F7" s="28" t="inlineStr">
        <is>
          <t>Chốt OQ-001, OQ-002, OQ-012, OQ-018 rồi cập nhật glossary và BR.</t>
        </is>
      </c>
      <c r="G7" s="28" t="inlineStr">
        <is>
          <t>PO</t>
        </is>
      </c>
      <c r="H7" s="28" t="inlineStr">
        <is>
          <t>Open</t>
        </is>
      </c>
    </row>
    <row r="8">
      <c r="A8" s="28" t="inlineStr">
        <is>
          <t>DEF-007</t>
        </is>
      </c>
      <c r="B8" s="28" t="inlineStr">
        <is>
          <t>Medium</t>
        </is>
      </c>
      <c r="C8" s="28" t="inlineStr">
        <is>
          <t>Completeness &amp; Implementation-Free</t>
        </is>
      </c>
      <c r="D8" s="28" t="inlineStr">
        <is>
          <t>4.7; SN-010, SN-014</t>
        </is>
      </c>
      <c r="E8" s="28" t="inlineStr">
        <is>
          <t>Thiếu BR về lưu giữ/xóa dữ liệu (OQ-004), gửi dữ liệu tới bên thứ ba (OQ-005) và vận hành/hỗ trợ (OQ-016).</t>
        </is>
      </c>
      <c r="F8" s="28" t="inlineStr">
        <is>
          <t>Bổ sung BR sau khi các OQ được chốt.</t>
        </is>
      </c>
      <c r="G8" s="28" t="inlineStr">
        <is>
          <t>BA</t>
        </is>
      </c>
      <c r="H8" s="28" t="inlineStr">
        <is>
          <t>Open</t>
        </is>
      </c>
    </row>
    <row r="9">
      <c r="A9" s="28" t="inlineStr">
        <is>
          <t>DEF-008</t>
        </is>
      </c>
      <c r="B9" s="28" t="inlineStr">
        <is>
          <t>Low</t>
        </is>
      </c>
      <c r="C9" s="28" t="inlineStr">
        <is>
          <t>Traceability &amp; Rationale</t>
        </is>
      </c>
      <c r="D9" s="28" t="inlineStr">
        <is>
          <t>BR-005, BR-006, BR-010, BR-012, BR-014</t>
        </is>
      </c>
      <c r="E9" s="28" t="inlineStr">
        <is>
          <t>Cột 'Lý do' chỉ ghi mã tính năng intake (FR-xx), không giải thích giá trị nghiệp vụ.</t>
        </is>
      </c>
      <c r="F9" s="28" t="inlineStr">
        <is>
          <t>Viết lại lý do theo dạng 'cần vì…' (vd. BR-010: tài liệu cũ có thể làm sai câu trả lời).</t>
        </is>
      </c>
      <c r="G9" s="28" t="inlineStr">
        <is>
          <t>BA</t>
        </is>
      </c>
      <c r="H9" s="28" t="inlineStr">
        <is>
          <t>Closed</t>
        </is>
      </c>
    </row>
    <row r="10">
      <c r="A10" s="28" t="inlineStr">
        <is>
          <t>DEF-009</t>
        </is>
      </c>
      <c r="B10" s="28" t="inlineStr">
        <is>
          <t>Medium</t>
        </is>
      </c>
      <c r="C10" s="28" t="inlineStr">
        <is>
          <t>User Personas &amp; Profile Characteristics</t>
        </is>
      </c>
      <c r="D10" s="28" t="inlineStr">
        <is>
          <t>4.6</t>
        </is>
      </c>
      <c r="E10" s="28" t="inlineStr">
        <is>
          <t>Không có persona/hồ sơ người dùng, bối cảnh sử dụng, số lượng người dùng.</t>
        </is>
      </c>
      <c r="F10" s="28" t="inlineStr">
        <is>
          <t>Lập persona từ phỏng vấn người dùng (SRC-003).</t>
        </is>
      </c>
      <c r="G10" s="28" t="inlineStr">
        <is>
          <t>BA</t>
        </is>
      </c>
      <c r="H10" s="28" t="inlineStr">
        <is>
          <t>Open</t>
        </is>
      </c>
    </row>
    <row r="11">
      <c r="A11" s="28" t="inlineStr">
        <is>
          <t>DEF-010</t>
        </is>
      </c>
      <c r="B11" s="28" t="inlineStr">
        <is>
          <t>Low</t>
        </is>
      </c>
      <c r="C11" s="28" t="inlineStr">
        <is>
          <t>Business Risks &amp; Mitigation</t>
        </is>
      </c>
      <c r="D11" s="28" t="inlineStr">
        <is>
          <t>4.10</t>
        </is>
      </c>
      <c r="E11" s="28" t="inlineStr">
        <is>
          <t>Rủi ro chỉ có biện pháp giảm thiểu, chưa có kế hoạch dự phòng.</t>
        </is>
      </c>
      <c r="F11" s="28" t="inlineStr">
        <is>
          <t>Bổ sung contingency cho RSK-001, RSK-002, RSK-003.</t>
        </is>
      </c>
      <c r="G11" s="28" t="inlineStr">
        <is>
          <t>PO</t>
        </is>
      </c>
      <c r="H11" s="28" t="inlineStr">
        <is>
          <t>Open</t>
        </is>
      </c>
    </row>
    <row r="12">
      <c r="A12" s="28" t="inlineStr">
        <is>
          <t>DEF-011</t>
        </is>
      </c>
      <c r="B12" s="28" t="inlineStr">
        <is>
          <t>Low</t>
        </is>
      </c>
      <c r="C12" s="28" t="inlineStr">
        <is>
          <t>Vision Statement</t>
        </is>
      </c>
      <c r="D12" s="28" t="inlineStr">
        <is>
          <t>4.2</t>
        </is>
      </c>
      <c r="E12" s="28" t="inlineStr">
        <is>
          <t>Thiếu vision statement và liên kết với chiến lược tổ chức.</t>
        </is>
      </c>
      <c r="F12" s="28" t="inlineStr">
        <is>
          <t>Thêm 1–2 câu vision đầu mục 4.2; Sponsor xác nhận.</t>
        </is>
      </c>
      <c r="G12" s="28" t="inlineStr">
        <is>
          <t>BA</t>
        </is>
      </c>
      <c r="H12" s="28" t="inlineStr">
        <is>
          <t>In Progress</t>
        </is>
      </c>
    </row>
    <row r="13">
      <c r="A13" s="28" t="inlineStr">
        <is>
          <t>DEF-012</t>
        </is>
      </c>
      <c r="B13" s="28" t="inlineStr">
        <is>
          <t>Low</t>
        </is>
      </c>
      <c r="C13" s="28" t="inlineStr">
        <is>
          <t>Traceability &amp; Rationale</t>
        </is>
      </c>
      <c r="D13" s="28" t="inlineStr">
        <is>
          <t>4.11</t>
        </is>
      </c>
      <c r="E13" s="28" t="inlineStr">
        <is>
          <t>13 BR chỉ truy vết tới SN, cột mục tiêu để '—'.</t>
        </is>
      </c>
      <c r="F13" s="28" t="inlineStr">
        <is>
          <t>Thêm bảng ánh xạ SN → BO để mọi BR truy vết được tới mục tiêu kinh doanh.</t>
        </is>
      </c>
      <c r="G13" s="28" t="inlineStr">
        <is>
          <t>BA</t>
        </is>
      </c>
      <c r="H13" s="28" t="inlineStr">
        <is>
          <t>Closed</t>
        </is>
      </c>
    </row>
    <row r="14">
      <c r="A14" s="28" t="inlineStr">
        <is>
          <t>DEF-013</t>
        </is>
      </c>
      <c r="B14" s="28" t="inlineStr">
        <is>
          <t>Low</t>
        </is>
      </c>
      <c r="C14" s="28" t="inlineStr">
        <is>
          <t>Dependencies &amp; Constraints</t>
        </is>
      </c>
      <c r="D14" s="28" t="inlineStr">
        <is>
          <t>4.12</t>
        </is>
      </c>
      <c r="E14" s="28" t="inlineStr">
        <is>
          <t>Hạn chót của OQ ghi theo mốc giai đoạn, chưa có ngày cụ thể.</t>
        </is>
      </c>
      <c r="F14" s="28" t="inlineStr">
        <is>
          <t>Cập nhật ngày khi có timeline (OQ-015).</t>
        </is>
      </c>
      <c r="G14" s="28" t="inlineStr">
        <is>
          <t>BA</t>
        </is>
      </c>
      <c r="H14" s="28" t="inlineStr">
        <is>
          <t>Open</t>
        </is>
      </c>
    </row>
    <row r="15">
      <c r="A15" s="28" t="inlineStr">
        <is>
          <t>DEF-014</t>
        </is>
      </c>
      <c r="B15" s="28" t="inlineStr">
        <is>
          <t>Low</t>
        </is>
      </c>
      <c r="C15" s="28" t="inlineStr">
        <is>
          <t>Business Purpose &amp; Drivers</t>
        </is>
      </c>
      <c r="D15" s="28" t="inlineStr">
        <is>
          <t>4.2, 4.3.4</t>
        </is>
      </c>
      <c r="E15" s="28" t="inlineStr">
        <is>
          <t>Tác động của vấn đề chưa lượng hóa; chi phí đầu tư chưa có.</t>
        </is>
      </c>
      <c r="F15" s="28" t="inlineStr">
        <is>
          <t>Đo baseline (OQ-008) và bổ sung chi phí (OQ-015).</t>
        </is>
      </c>
      <c r="G15" s="28" t="inlineStr">
        <is>
          <t>BA</t>
        </is>
      </c>
      <c r="H15" s="28" t="inlineStr">
        <is>
          <t>Open</t>
        </is>
      </c>
    </row>
  </sheetData>
  <conditionalFormatting sqref="B2:B15">
    <cfRule type="cellIs" priority="1" operator="equal" dxfId="2">
      <formula>"High"</formula>
    </cfRule>
    <cfRule type="cellIs" priority="2" operator="equal" dxfId="1">
      <formula>"Medium"</formula>
    </cfRule>
  </conditionalFormatting>
  <dataValidations count="2">
    <dataValidation sqref="B2:B15" showDropDown="0" showInputMessage="0" showErrorMessage="0" allowBlank="1" type="list">
      <formula1>"High,Medium,Low"</formula1>
    </dataValidation>
    <dataValidation sqref="H2:H15" showDropDown="0" showInputMessage="0" showErrorMessage="0" allowBlank="1" type="list">
      <formula1>"Open,In Progress,Closed"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2026-10-19T10:10:57Z</dcterms:created>
  <dcterms:modified xsi:type="dcterms:W3CDTF">2026-10-23T13:46:27Z</dcterms:modified>
  <cp:revision>1</cp:revision>
</cp:coreProperties>
</file>