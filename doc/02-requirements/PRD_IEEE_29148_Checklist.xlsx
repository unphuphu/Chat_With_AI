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ổng hợp" sheetId="1" state="visible" r:id="rId1"/>
    <sheet name="IEEE 29148 PRD Checklist" sheetId="2" state="visible" r:id="rId2"/>
    <sheet name="Phát hiện chi tiết" sheetId="3" state="visible" r:id="rId3"/>
  </sheets>
  <definedNames>
    <definedName name="_xlnm._FilterDatabase" localSheetId="1" hidden="1">'IEEE 29148 PRD Checklist'!$A$1:$E$21</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0">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2"/>
    </font>
    <font>
      <name val="Calibri"/>
      <sz val="11"/>
    </font>
    <font>
      <name val="Calibri"/>
      <b val="1"/>
      <sz val="11"/>
    </font>
    <font>
      <name val="Calibri"/>
      <b val="1"/>
      <sz val="14"/>
    </font>
    <font>
      <name val="Calibri"/>
      <b val="1"/>
    </font>
    <font>
      <name val="Calibri"/>
    </font>
  </fonts>
  <fills count="5">
    <fill>
      <patternFill/>
    </fill>
    <fill>
      <patternFill patternType="gray125"/>
    </fill>
    <fill>
      <patternFill patternType="solid">
        <fgColor rgb="FF117A65"/>
        <bgColor rgb="FF008080"/>
      </patternFill>
    </fill>
    <fill>
      <patternFill patternType="solid">
        <fgColor rgb="FFE8F8F5"/>
        <bgColor rgb="FFFFFFFF"/>
      </patternFill>
    </fill>
    <fill>
      <patternFill patternType="solid">
        <fgColor rgb="FFFFFFFF"/>
        <bgColor rgb="FFE8F8F5"/>
      </patternFill>
    </fill>
  </fills>
  <borders count="6">
    <border>
      <left/>
      <right/>
      <top/>
      <bottom/>
      <diagonal/>
    </border>
    <border>
      <left style="thin">
        <color rgb="FFBDC3C7"/>
      </left>
      <right style="thin">
        <color rgb="FFBDC3C7"/>
      </right>
      <top style="thin">
        <color rgb="FFBDC3C7"/>
      </top>
      <bottom style="thin">
        <color rgb="FFBDC3C7"/>
      </bottom>
      <diagonal/>
    </border>
    <border>
      <left style="thin">
        <color rgb="FFBDC3C7"/>
      </left>
      <right/>
      <top/>
      <bottom/>
      <diagonal/>
    </border>
    <border>
      <left style="thin">
        <color rgb="FFBDC3C7"/>
      </left>
      <right style="thin">
        <color rgb="FFBDC3C7"/>
      </right>
      <top/>
      <bottom/>
      <diagonal/>
    </border>
    <border>
      <left style="thin">
        <color rgb="FFBDC3C7"/>
      </left>
      <right style="thin">
        <color rgb="FFBDC3C7"/>
      </right>
      <top/>
      <bottom style="thin">
        <color rgb="FFBDC3C7"/>
      </bottom>
      <diagonal/>
    </border>
    <border>
      <left style="thin">
        <color rgb="00BFBFBF"/>
      </left>
      <right style="thin">
        <color rgb="00BFBFBF"/>
      </right>
      <top style="thin">
        <color rgb="00BFBFBF"/>
      </top>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0" fillId="0" borderId="0" applyAlignment="1" pivotButton="0" quotePrefix="0" xfId="0">
      <alignment horizontal="general" vertical="center"/>
    </xf>
    <xf numFmtId="0" fontId="4" fillId="2" borderId="1" applyAlignment="1" pivotButton="0" quotePrefix="0" xfId="0">
      <alignment horizontal="center" vertical="center"/>
    </xf>
    <xf numFmtId="0" fontId="0" fillId="3" borderId="1" applyAlignment="1" pivotButton="0" quotePrefix="0" xfId="0">
      <alignment horizontal="general" vertical="center" wrapText="1"/>
    </xf>
    <xf numFmtId="0" fontId="0" fillId="3" borderId="1" applyAlignment="1" pivotButton="0" quotePrefix="0" xfId="0">
      <alignment horizontal="center" vertical="center"/>
    </xf>
    <xf numFmtId="0" fontId="0" fillId="4" borderId="1" applyAlignment="1" pivotButton="0" quotePrefix="0" xfId="0">
      <alignment horizontal="general" vertical="center" wrapText="1"/>
    </xf>
    <xf numFmtId="0" fontId="0" fillId="4" borderId="1" applyAlignment="1" pivotButton="0" quotePrefix="0" xfId="0">
      <alignment horizontal="center" vertical="center"/>
    </xf>
    <xf numFmtId="0" fontId="0" fillId="0" borderId="0" pivotButton="0" quotePrefix="0" xfId="0"/>
    <xf numFmtId="0" fontId="7" fillId="0"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4" fillId="2" borderId="0" applyAlignment="1" pivotButton="0" quotePrefix="0" xfId="0">
      <alignment vertical="top" wrapText="1"/>
    </xf>
    <xf numFmtId="164" fontId="9" fillId="0" borderId="0" applyAlignment="1" pivotButton="0" quotePrefix="0" xfId="0">
      <alignment vertical="top" wrapText="1"/>
    </xf>
    <xf numFmtId="164" fontId="8" fillId="0" borderId="0" applyAlignment="1" pivotButton="0" quotePrefix="0" xfId="0">
      <alignment vertical="top" wrapText="1"/>
    </xf>
    <xf numFmtId="0" fontId="0" fillId="0" borderId="0" applyAlignment="1" pivotButton="0" quotePrefix="0" xfId="0">
      <alignment horizontal="general" vertical="center"/>
    </xf>
    <xf numFmtId="0" fontId="4" fillId="2" borderId="1" applyAlignment="1" pivotButton="0" quotePrefix="0" xfId="0">
      <alignment horizontal="center" vertical="center"/>
    </xf>
    <xf numFmtId="0" fontId="4" fillId="2" borderId="1" applyAlignment="1" pivotButton="0" quotePrefix="0" xfId="0">
      <alignment horizontal="center" vertical="center"/>
    </xf>
    <xf numFmtId="0" fontId="0" fillId="3" borderId="1" applyAlignment="1" pivotButton="0" quotePrefix="0" xfId="0">
      <alignment horizontal="general" vertical="center" wrapText="1"/>
    </xf>
    <xf numFmtId="0" fontId="0" fillId="3" borderId="1" applyAlignment="1" pivotButton="0" quotePrefix="0" xfId="0">
      <alignment horizontal="center" vertical="center"/>
    </xf>
    <xf numFmtId="0" fontId="5" fillId="3"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vertical="top" wrapText="1"/>
    </xf>
    <xf numFmtId="0" fontId="0" fillId="0" borderId="4" pivotButton="0" quotePrefix="0" xfId="0"/>
    <xf numFmtId="0" fontId="0" fillId="4" borderId="1" applyAlignment="1" pivotButton="0" quotePrefix="0" xfId="0">
      <alignment horizontal="general" vertical="center" wrapText="1"/>
    </xf>
    <xf numFmtId="0" fontId="0" fillId="4" borderId="1" applyAlignment="1" pivotButton="0" quotePrefix="0" xfId="0">
      <alignment horizontal="center" vertical="center"/>
    </xf>
    <xf numFmtId="0" fontId="5" fillId="4" borderId="1" applyAlignment="1" pivotButton="0" quotePrefix="0" xfId="0">
      <alignment vertical="top" wrapText="1"/>
    </xf>
    <xf numFmtId="0" fontId="0" fillId="0" borderId="3" pivotButton="0" quotePrefix="0" xfId="0"/>
    <xf numFmtId="0" fontId="4" fillId="2" borderId="5" applyAlignment="1" pivotButton="0" quotePrefix="0" xfId="0">
      <alignment horizontal="center" vertical="center" wrapText="1"/>
    </xf>
    <xf numFmtId="0" fontId="5" fillId="0" borderId="5"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3">
    <dxf>
      <fill>
        <patternFill patternType="solid">
          <fgColor rgb="FF117A65"/>
          <bgColor rgb="FF000000"/>
        </patternFill>
      </fill>
    </dxf>
    <dxf>
      <fill>
        <patternFill patternType="solid">
          <fgColor rgb="FFE8F8F5"/>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E74C3C"/>
          <bgColor rgb="FF000000"/>
        </patternFill>
      </fill>
    </dxf>
    <dxf>
      <font>
        <b val="1"/>
        <color rgb="FFFFFFFF"/>
      </font>
      <fill>
        <patternFill>
          <bgColor rgb="FF27AE60"/>
        </patternFill>
      </fill>
    </dxf>
    <dxf>
      <font>
        <b val="1"/>
        <color rgb="FF2C3E50"/>
      </font>
      <fill>
        <patternFill>
          <bgColor rgb="FFF1C40F"/>
        </patternFill>
      </fill>
    </dxf>
    <dxf>
      <font>
        <b val="1"/>
        <color rgb="FFFFFFFF"/>
      </font>
      <fill>
        <patternFill>
          <bgColor rgb="FFE74C3C"/>
        </patternFill>
      </fill>
    </dxf>
    <dxf>
      <font>
        <b val="1"/>
        <color rgb="FFFFFFFF"/>
      </font>
      <fill>
        <patternFill>
          <bgColor rgb="FF95A5A6"/>
        </patternFill>
      </fill>
    </dxf>
    <dxf>
      <fill>
        <patternFill patternType="solid">
          <fgColor rgb="00D5F5E3"/>
        </patternFill>
      </fill>
    </dxf>
    <dxf>
      <fill>
        <patternFill patternType="solid">
          <fgColor rgb="00FCF3CF"/>
        </patternFill>
      </fill>
    </dxf>
    <dxf>
      <fill>
        <patternFill patternType="solid">
          <fgColor rgb="00FADBD8"/>
        </patternFill>
      </fill>
    </dxf>
    <dxf>
      <fill>
        <patternFill patternType="solid">
          <fgColor rgb="00EAECE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17A65"/>
      <rgbColor rgb="FFBDC3C7"/>
      <rgbColor rgb="FF808080"/>
      <rgbColor rgb="FF9999FF"/>
      <rgbColor rgb="FF993366"/>
      <rgbColor rgb="FFFFFFCC"/>
      <rgbColor rgb="FFE8F8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1C40F"/>
      <rgbColor rgb="FFFF9900"/>
      <rgbColor rgb="FFE74C3C"/>
      <rgbColor rgb="FF666699"/>
      <rgbColor rgb="FF95A5A6"/>
      <rgbColor rgb="FF003366"/>
      <rgbColor rgb="FF27AE60"/>
      <rgbColor rgb="FF003300"/>
      <rgbColor rgb="FF333300"/>
      <rgbColor rgb="FF993300"/>
      <rgbColor rgb="FF993366"/>
      <rgbColor rgb="FF333399"/>
      <rgbColor rgb="FF2C3E5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0" customWidth="1" style="7" min="1" max="1"/>
    <col width="80" customWidth="1" style="7" min="2" max="2"/>
    <col width="14" customWidth="1" style="7" min="3" max="3"/>
  </cols>
  <sheetData>
    <row r="1">
      <c r="A1" s="8" t="inlineStr">
        <is>
          <t>Kết quả review PRD theo checklist IEEE 29148</t>
        </is>
      </c>
    </row>
    <row r="3">
      <c r="A3" s="9" t="inlineStr">
        <is>
          <t>Tài liệu được review</t>
        </is>
      </c>
      <c r="B3" s="10" t="inlineStr">
        <is>
          <t>doc/02-requirements/PRD.md – PRD-AICHAT-001</t>
        </is>
      </c>
      <c r="C3" s="10" t="n"/>
    </row>
    <row r="4">
      <c r="A4" s="9" t="inlineStr">
        <is>
          <t>Phiên bản PRD</t>
        </is>
      </c>
      <c r="B4" s="10" t="inlineStr">
        <is>
          <t>0.2 (Draft) – đã sửa P-DEF-006…P-DEF-013</t>
        </is>
      </c>
      <c r="C4" s="10" t="n"/>
    </row>
    <row r="5">
      <c r="A5" s="9" t="inlineStr">
        <is>
          <t>Tài liệu gốc</t>
        </is>
      </c>
      <c r="B5" s="10" t="inlineStr">
        <is>
          <t>doc/02-requirements/BRD.md v0.2</t>
        </is>
      </c>
      <c r="C5" s="10" t="n"/>
    </row>
    <row r="6">
      <c r="A6" s="9" t="inlineStr">
        <is>
          <t>Checklist</t>
        </is>
      </c>
      <c r="B6" s="10" t="inlineStr">
        <is>
          <t>doc/templates/PRD_IEEE_29148_Checklist.xlsx</t>
        </is>
      </c>
      <c r="C6" s="10" t="n"/>
    </row>
    <row r="7">
      <c r="A7" s="9" t="inlineStr">
        <is>
          <t>Ngày review</t>
        </is>
      </c>
      <c r="B7" s="10" t="inlineStr">
        <is>
          <t>2026-10-23</t>
        </is>
      </c>
      <c r="C7" s="10" t="n"/>
    </row>
    <row r="8">
      <c r="A8" s="9" t="inlineStr">
        <is>
          <t>Người review</t>
        </is>
      </c>
      <c r="B8" s="10" t="inlineStr">
        <is>
          <t>Claude (AI review hỗ trợ PM/BA) – PRD do chính Claude soạn, cần PO/Tech Lead xác nhận</t>
        </is>
      </c>
      <c r="C8" s="10" t="n"/>
    </row>
    <row r="9">
      <c r="A9" s="10" t="n"/>
      <c r="B9" s="10" t="n"/>
      <c r="C9" s="10" t="n"/>
    </row>
    <row r="10">
      <c r="A10" s="11" t="inlineStr">
        <is>
          <t>Kết quả đánh giá</t>
        </is>
      </c>
      <c r="B10" s="11" t="inlineStr">
        <is>
          <t>Số tiêu chí</t>
        </is>
      </c>
      <c r="C10" s="11" t="inlineStr">
        <is>
          <t>Tỷ lệ</t>
        </is>
      </c>
    </row>
    <row r="11">
      <c r="A11" s="10" t="inlineStr">
        <is>
          <t>Đạt</t>
        </is>
      </c>
      <c r="B11" s="10">
        <f>COUNTIF('IEEE 29148 PRD Checklist'!$F$2:$F$21,A11)</f>
        <v/>
      </c>
      <c r="C11" s="12">
        <f>IF($B$15=0,0,B11/$B$15)</f>
        <v/>
      </c>
    </row>
    <row r="12">
      <c r="A12" s="10" t="inlineStr">
        <is>
          <t>Đạt một phần</t>
        </is>
      </c>
      <c r="B12" s="10">
        <f>COUNTIF('IEEE 29148 PRD Checklist'!$F$2:$F$21,A12)</f>
        <v/>
      </c>
      <c r="C12" s="12">
        <f>IF($B$15=0,0,B12/$B$15)</f>
        <v/>
      </c>
    </row>
    <row r="13">
      <c r="A13" s="10" t="inlineStr">
        <is>
          <t>Chưa đạt</t>
        </is>
      </c>
      <c r="B13" s="10">
        <f>COUNTIF('IEEE 29148 PRD Checklist'!$F$2:$F$21,A13)</f>
        <v/>
      </c>
      <c r="C13" s="12">
        <f>IF($B$15=0,0,B13/$B$15)</f>
        <v/>
      </c>
    </row>
    <row r="14">
      <c r="A14" s="10" t="inlineStr">
        <is>
          <t>Không áp dụng</t>
        </is>
      </c>
      <c r="B14" s="10">
        <f>COUNTIF('IEEE 29148 PRD Checklist'!$F$2:$F$21,A14)</f>
        <v/>
      </c>
      <c r="C14" s="12">
        <f>IF($B$15=0,0,B14/$B$15)</f>
        <v/>
      </c>
    </row>
    <row r="15">
      <c r="A15" s="9" t="inlineStr">
        <is>
          <t>Tổng</t>
        </is>
      </c>
      <c r="B15" s="9">
        <f>SUM(B11:B14)</f>
        <v/>
      </c>
      <c r="C15" s="13">
        <f>SUM(C11:C14)</f>
        <v/>
      </c>
    </row>
    <row r="16">
      <c r="A16" s="10" t="n"/>
      <c r="B16" s="10" t="n"/>
      <c r="C16" s="10" t="n"/>
    </row>
    <row r="17">
      <c r="A17" s="11" t="inlineStr">
        <is>
          <t>Status (theo template)</t>
        </is>
      </c>
      <c r="B17" s="11" t="inlineStr">
        <is>
          <t>Số tiêu chí</t>
        </is>
      </c>
      <c r="C17" s="10" t="n"/>
    </row>
    <row r="18">
      <c r="A18" s="10" t="inlineStr">
        <is>
          <t>Done</t>
        </is>
      </c>
      <c r="B18" s="10">
        <f>COUNTIF('IEEE 29148 PRD Checklist'!$D$2:$D$21,A18)</f>
        <v/>
      </c>
      <c r="C18" s="10" t="n"/>
    </row>
    <row r="19">
      <c r="A19" s="10" t="inlineStr">
        <is>
          <t>In Progress</t>
        </is>
      </c>
      <c r="B19" s="10">
        <f>COUNTIF('IEEE 29148 PRD Checklist'!$D$2:$D$21,A19)</f>
        <v/>
      </c>
      <c r="C19" s="10" t="n"/>
    </row>
    <row r="20">
      <c r="A20" s="10" t="inlineStr">
        <is>
          <t>Pending</t>
        </is>
      </c>
      <c r="B20" s="10">
        <f>COUNTIF('IEEE 29148 PRD Checklist'!$D$2:$D$21,A20)</f>
        <v/>
      </c>
      <c r="C20" s="10" t="n"/>
    </row>
    <row r="21">
      <c r="A21" s="10" t="inlineStr">
        <is>
          <t>N/A</t>
        </is>
      </c>
      <c r="B21" s="10">
        <f>COUNTIF('IEEE 29148 PRD Checklist'!$D$2:$D$21,A21)</f>
        <v/>
      </c>
      <c r="C21" s="10" t="n"/>
    </row>
    <row r="22">
      <c r="A22" s="10" t="n"/>
      <c r="B22" s="10" t="n"/>
      <c r="C22" s="10" t="n"/>
    </row>
    <row r="23">
      <c r="A23" s="11" t="inlineStr">
        <is>
          <t>Mức độ phát hiện</t>
        </is>
      </c>
      <c r="B23" s="11" t="inlineStr">
        <is>
          <t>Tổng</t>
        </is>
      </c>
      <c r="C23" s="11" t="inlineStr">
        <is>
          <t>Còn mở</t>
        </is>
      </c>
    </row>
    <row r="24">
      <c r="A24" s="10" t="inlineStr">
        <is>
          <t>High</t>
        </is>
      </c>
      <c r="B24" s="10">
        <f>COUNTIF('Phát hiện chi tiết'!$B$2:$B$16,A24)</f>
        <v/>
      </c>
      <c r="C24" s="10">
        <f>COUNTIFS('Phát hiện chi tiết'!$B$2:$B$16,A24,'Phát hiện chi tiết'!$H$2:$H$16,"&lt;&gt;Closed")</f>
        <v/>
      </c>
    </row>
    <row r="25">
      <c r="A25" s="10" t="inlineStr">
        <is>
          <t>Medium</t>
        </is>
      </c>
      <c r="B25" s="10">
        <f>COUNTIF('Phát hiện chi tiết'!$B$2:$B$16,A25)</f>
        <v/>
      </c>
      <c r="C25" s="10">
        <f>COUNTIFS('Phát hiện chi tiết'!$B$2:$B$16,A25,'Phát hiện chi tiết'!$H$2:$H$16,"&lt;&gt;Closed")</f>
        <v/>
      </c>
    </row>
    <row r="26">
      <c r="A26" s="10" t="inlineStr">
        <is>
          <t>Low</t>
        </is>
      </c>
      <c r="B26" s="10">
        <f>COUNTIF('Phát hiện chi tiết'!$B$2:$B$16,A26)</f>
        <v/>
      </c>
      <c r="C26" s="10">
        <f>COUNTIFS('Phát hiện chi tiết'!$B$2:$B$16,A26,'Phát hiện chi tiết'!$H$2:$H$16,"&lt;&gt;Closed")</f>
        <v/>
      </c>
    </row>
    <row r="27">
      <c r="A27" s="10" t="n"/>
      <c r="B27" s="10" t="n"/>
      <c r="C27" s="10" t="n"/>
    </row>
    <row r="28">
      <c r="A28" s="9" t="inlineStr">
        <is>
          <t>Kết luận</t>
        </is>
      </c>
      <c r="B28" s="10">
        <f>IF(AND(B13=0,C24=0),"Sẵn sàng baseline","Chưa sẵn sàng baseline – còn tiêu chí Chưa đạt hoặc phát hiện High đang mở")</f>
        <v/>
      </c>
      <c r="C28" s="10" t="n"/>
    </row>
    <row r="29">
      <c r="A29" s="9" t="inlineStr">
        <is>
          <t>Nhận xét</t>
        </is>
      </c>
      <c r="B29" s="10" t="inlineStr">
        <is>
          <t>PRD v0.2 đủ để Designer và Tech Lead bắt đầu thiết kế và ước lượng: 27/27 story có AC Given-When-Then, truy vết 29/29 BR, có phạm vi, trường hợp biên, launch gate và sự kiện analytics. Các lỗi soạn thảo P-DEF-006…013 đã đóng. Điểm chặn baseline: giao diện phần mềm chưa xác định (P-DEF-001) và các ngưỡng NFR còn là đề xuất chưa được PO duyệt (P-DEF-002); các vấn đề Medium còn lại cần PO/IT-Security quyết định.</t>
        </is>
      </c>
      <c r="C29" s="10" t="n"/>
    </row>
    <row r="30">
      <c r="A30" s="10" t="n"/>
      <c r="B30" s="10" t="n"/>
      <c r="C30" s="10" t="n"/>
    </row>
    <row r="31">
      <c r="A31" s="9" t="inlineStr">
        <is>
          <t>Quy ước</t>
        </is>
      </c>
      <c r="B31" s="10" t="n"/>
      <c r="C31" s="10" t="n"/>
    </row>
    <row r="32">
      <c r="A32" s="10" t="inlineStr">
        <is>
          <t>Đạt → Done</t>
        </is>
      </c>
      <c r="B32" s="10" t="inlineStr">
        <is>
          <t>Tiêu chí được đáp ứng, không cần hành động bắt buộc.</t>
        </is>
      </c>
      <c r="C32" s="10" t="n"/>
    </row>
    <row r="33">
      <c r="A33" s="10" t="inlineStr">
        <is>
          <t>Đạt một phần → In Progress</t>
        </is>
      </c>
      <c r="B33" s="10" t="inlineStr">
        <is>
          <t>Đã có nội dung nhưng còn thiếu; xem cột Notes / Action Items.</t>
        </is>
      </c>
      <c r="C33" s="10" t="n"/>
    </row>
    <row r="34">
      <c r="A34" s="10" t="inlineStr">
        <is>
          <t>Chưa đạt → Pending</t>
        </is>
      </c>
      <c r="B34" s="10" t="inlineStr">
        <is>
          <t>Nội dung chưa có hoặc chưa dùng được; cần bổ sung trước khi baseline.</t>
        </is>
      </c>
      <c r="C34" s="10" t="n"/>
    </row>
    <row r="35">
      <c r="A35" s="10" t="inlineStr">
        <is>
          <t>Không áp dụng → N/A</t>
        </is>
      </c>
      <c r="B35" s="10" t="inlineStr">
        <is>
          <t>Tiêu chí không liên quan tới sản phẩm này.</t>
        </is>
      </c>
      <c r="C35" s="10" t="n"/>
    </row>
    <row r="36">
      <c r="A36" s="10" t="inlineStr">
        <is>
          <t>Cột cần cập nhật khi xử lý</t>
        </is>
      </c>
      <c r="B36" s="10" t="inlineStr">
        <is>
          <t>Sheet checklist: cột D, E, F. Sheet 'Phát hiện chi tiết': cột H (Open / In Progress / Closed).</t>
        </is>
      </c>
      <c r="C36" s="10" t="n"/>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Right"/>
      <selection pane="bottomLeft"/>
      <selection pane="bottomRight" activeCell="A1" activeCellId="0" sqref="A1"/>
      <selection pane="bottomLeft" activeCell="B17" activeCellId="0" sqref="B17"/>
    </sheetView>
  </sheetViews>
  <sheetFormatPr baseColWidth="8" defaultColWidth="8.6796875" defaultRowHeight="15" customHeight="0" zeroHeight="0" outlineLevelRow="0"/>
  <cols>
    <col width="30" customWidth="1" style="14" min="1" max="1"/>
    <col width="25" customWidth="1" style="14" min="2" max="2"/>
    <col width="65" customWidth="1" style="14" min="3" max="3"/>
    <col width="15" customWidth="1" style="14" min="4" max="4"/>
    <col width="75" customWidth="1" style="14" min="5" max="5"/>
    <col width="18" customWidth="1" style="14" min="6" max="16384"/>
    <col width="30" customWidth="1" style="7" min="7" max="7"/>
  </cols>
  <sheetData>
    <row r="1" ht="15" customHeight="1" s="7">
      <c r="A1" s="15" t="inlineStr">
        <is>
          <t>Category</t>
        </is>
      </c>
      <c r="B1" s="15" t="inlineStr">
        <is>
          <t>Checklist Item</t>
        </is>
      </c>
      <c r="C1" s="15" t="inlineStr">
        <is>
          <t>Description / Question</t>
        </is>
      </c>
      <c r="D1" s="15" t="inlineStr">
        <is>
          <t>Status</t>
        </is>
      </c>
      <c r="E1" s="15" t="inlineStr">
        <is>
          <t>Notes / Action Items</t>
        </is>
      </c>
      <c r="F1" s="16" t="inlineStr">
        <is>
          <t>Kết quả đánh giá</t>
        </is>
      </c>
      <c r="G1" s="16" t="inlineStr">
        <is>
          <t>Tham chiếu trong PRD</t>
        </is>
      </c>
    </row>
    <row r="2" ht="28.35" customHeight="1" s="7">
      <c r="A2" s="17" t="inlineStr">
        <is>
          <t>1. Introduction &amp; Context</t>
        </is>
      </c>
      <c r="B2" s="17" t="inlineStr">
        <is>
          <t>Purpose &amp; Scope</t>
        </is>
      </c>
      <c r="C2" s="17" t="inlineStr">
        <is>
          <t>Is the product's purpose and system boundary clearly defined without delving into implementation details?</t>
        </is>
      </c>
      <c r="D2" s="18" t="inlineStr">
        <is>
          <t>Done</t>
        </is>
      </c>
      <c r="E2" s="19" t="inlineStr">
        <is>
          <t>Mục đích rõ (Tầm nhìn 1.1, trụ cột sản phẩm mục 0). [v0.2] Thêm mục 1.3 Phạm vi MVP: trong phạm vi, hoãn lại (US-019, lịch sử qua phiên, thiết bị di động), ngoài phạm vi, ranh giới hệ thống (P-DEF-013 – Closed).</t>
        </is>
      </c>
      <c r="F2" s="20" t="inlineStr">
        <is>
          <t>Đạt</t>
        </is>
      </c>
      <c r="G2" s="21" t="inlineStr">
        <is>
          <t>0, 1.1, 1.3</t>
        </is>
      </c>
    </row>
    <row r="3" ht="28.35" customHeight="1" s="7">
      <c r="A3" s="22" t="n"/>
      <c r="B3" s="23" t="inlineStr">
        <is>
          <t>Business Context</t>
        </is>
      </c>
      <c r="C3" s="23" t="inlineStr">
        <is>
          <t>Are the business goals and overarching strategies that drive these requirements documented?</t>
        </is>
      </c>
      <c r="D3" s="24" t="inlineStr">
        <is>
          <t>Done</t>
        </is>
      </c>
      <c r="E3" s="25" t="inlineStr">
        <is>
          <t>Tầm nhìn và OKR (O1–O3) gắn trực tiếp với BO/MET của BRD v0.2; mục 0 kiểm tra vấn đề và giải pháp với BRD. Mục tiêu chiến lược của tổ chức vẫn chờ OQ-019 (theo dõi ở BRD).</t>
        </is>
      </c>
      <c r="F3" s="20" t="inlineStr">
        <is>
          <t>Đạt</t>
        </is>
      </c>
      <c r="G3" s="21" t="inlineStr">
        <is>
          <t>1.1, 1.2; BRD 4.4</t>
        </is>
      </c>
    </row>
    <row r="4" ht="28.35" customHeight="1" s="7">
      <c r="A4" s="23" t="inlineStr">
        <is>
          <t>2. Stakeholders &amp; Environment</t>
        </is>
      </c>
      <c r="B4" s="17" t="inlineStr">
        <is>
          <t>User Characteristics</t>
        </is>
      </c>
      <c r="C4" s="17" t="inlineStr">
        <is>
          <t>Are the primary user personas, their technical expertise, and expected interactions described?</t>
        </is>
      </c>
      <c r="D4" s="18" t="inlineStr">
        <is>
          <t>In Progress</t>
        </is>
      </c>
      <c r="E4" s="19" t="inlineStr">
        <is>
          <t>Có 2 persona (P1, P2) với vai trò, mục tiêu, khó khăn, trình độ công nghệ, tần suất, thiết bị. Nhưng toàn bộ là giả định, chưa xác nhận qua phỏng vấn (SRC-003) – P-DEF-014. Thiếu vai trò quản trị viên cấp quyền (OQ-102) – P-DEF-003.
Hành động: phỏng vấn ≥ 5 người dùng; bổ sung persona/role quản trị khi chốt OQ-001.</t>
        </is>
      </c>
      <c r="F4" s="20" t="inlineStr">
        <is>
          <t>Đạt một phần</t>
        </is>
      </c>
      <c r="G4" s="21" t="inlineStr">
        <is>
          <t>2.1; OQ-102</t>
        </is>
      </c>
    </row>
    <row r="5" ht="28.35" customHeight="1" s="7">
      <c r="A5" s="22" t="n"/>
      <c r="B5" s="23" t="inlineStr">
        <is>
          <t>Operating Environment</t>
        </is>
      </c>
      <c r="C5" s="23" t="inlineStr">
        <is>
          <t>Is the physical and software environment where the system will operate defined (e.g., local embedded devices, cloud clusters)?</t>
        </is>
      </c>
      <c r="D5" s="24" t="inlineStr">
        <is>
          <t>In Progress</t>
        </is>
      </c>
      <c r="E5" s="25" t="inlineStr">
        <is>
          <t>Có môi trường phía người dùng (trình duyệt Chrome/Edge, máy tính, ≥ 1280 px – NFR-017) nhưng là đề xuất (D-13). Nơi triển khai (đám mây hay máy chủ nội bộ) còn [TBD: OQ-005].
Hành động: IT/Security chốt nơi triển khai; PO chốt D-13 / OQ-101.</t>
        </is>
      </c>
      <c r="F5" s="20" t="inlineStr">
        <is>
          <t>Đạt một phần</t>
        </is>
      </c>
      <c r="G5" s="21" t="inlineStr">
        <is>
          <t>6.1; NFR-017; D-13</t>
        </is>
      </c>
    </row>
    <row r="6" ht="28.35" customHeight="1" s="7">
      <c r="A6" s="17" t="inlineStr">
        <is>
          <t>3. Functional Requirements</t>
        </is>
      </c>
      <c r="B6" s="17" t="inlineStr">
        <is>
          <t>Singular &amp; Complete</t>
        </is>
      </c>
      <c r="C6" s="17" t="inlineStr">
        <is>
          <t>Is each requirement stated as a single, complete capability (e.g., 'The system shall route tasks based on agent availability')?</t>
        </is>
      </c>
      <c r="D6" s="18" t="inlineStr">
        <is>
          <t>In Progress</t>
        </is>
      </c>
      <c r="E6" s="19" t="inlineStr">
        <is>
          <t>27 user story đều viết theo một hành động – một giá trị. [v0.2] 5 NFR gộp đã được tách thành NFR-004/018, NFR-006/019/020/021, NFR-009/022, NFR-012/023, NFR-014/024 (P-DEF-006 – Closed). Còn thiếu: story cấp/thu hồi quyền truy cập – P-DEF-003.
Hành động: thêm story quản trị quyền khi chốt OQ-001, OQ-102.</t>
        </is>
      </c>
      <c r="F6" s="20" t="inlineStr">
        <is>
          <t>Đạt một phần</t>
        </is>
      </c>
      <c r="G6" s="21" t="inlineStr">
        <is>
          <t>3.2–3.9; NFR-018…NFR-024; OQ-102</t>
        </is>
      </c>
    </row>
    <row r="7" ht="28.35" customHeight="1" s="7">
      <c r="A7" s="26" t="n"/>
      <c r="B7" s="23" t="inlineStr">
        <is>
          <t>Implementation-Free</t>
        </is>
      </c>
      <c r="C7" s="23" t="inlineStr">
        <is>
          <t>Do the requirements state 'what' the system must do rather than 'how' it should be coded or architected?</t>
        </is>
      </c>
      <c r="D7" s="24" t="inlineStr">
        <is>
          <t>Done</t>
        </is>
      </c>
      <c r="E7" s="25" t="inlineStr">
        <is>
          <t>Yêu cầu nói 'cái gì'. [v0.2] NFR-010 viết lại theo kết quả (không truy cập được tài liệu ngoài quyền bằng bất kỳ cách nào); 4.1 bỏ quy định phím cụ thể; US-004 đổi 'từ chối trước khi tải lên' thành 'từ chối và không được lưu' (P-DEF-008 – Closed). Wireframe 4.1 ghi rõ là bố cục logic.</t>
        </is>
      </c>
      <c r="F7" s="20" t="inlineStr">
        <is>
          <t>Đạt</t>
        </is>
      </c>
      <c r="G7" s="21" t="inlineStr">
        <is>
          <t>4.1; NFR-010; US-004</t>
        </is>
      </c>
    </row>
    <row r="8" ht="28.35" customHeight="1" s="7">
      <c r="A8" s="22" t="n"/>
      <c r="B8" s="17" t="inlineStr">
        <is>
          <t>Verifiable</t>
        </is>
      </c>
      <c r="C8" s="17" t="inlineStr">
        <is>
          <t>Is every functional requirement written so that it can be objectively tested and verified?</t>
        </is>
      </c>
      <c r="D8" s="18" t="inlineStr">
        <is>
          <t>In Progress</t>
        </is>
      </c>
      <c r="E8" s="19" t="inlineStr">
        <is>
          <t>[v0.2] 27/27 story có AC dạng Given-When-Then (đã thêm AC cho US-009, US-015, US-018, US-019, US-022, US-027 – P-DEF-007 Closed). Còn lại: nhiều AC/NFR dùng ngưỡng đề xuất chưa được duyệt – P-DEF-002.
Hành động: PO chốt D-01…D-13.</t>
        </is>
      </c>
      <c r="F8" s="20" t="inlineStr">
        <is>
          <t>Đạt một phần</t>
        </is>
      </c>
      <c r="G8" s="21" t="inlineStr">
        <is>
          <t>3.2–3.8; 7.2</t>
        </is>
      </c>
    </row>
    <row r="9" ht="28.35" customHeight="1" s="7">
      <c r="A9" s="23" t="inlineStr">
        <is>
          <t>4. Non-Functional Requirements</t>
        </is>
      </c>
      <c r="B9" s="23" t="inlineStr">
        <is>
          <t>Performance &amp; Capacity</t>
        </is>
      </c>
      <c r="C9" s="23" t="inlineStr">
        <is>
          <t>Are quantifiable metrics provided for speed, throughput, and capacity (e.g., 'Model inference latency &lt; 200ms')?</t>
        </is>
      </c>
      <c r="D9" s="24" t="inlineStr">
        <is>
          <t>In Progress</t>
        </is>
      </c>
      <c r="E9" s="25" t="inlineStr">
        <is>
          <t>Có chỉ số định lượng: thời gian trả lời p50/p90 (NFR-001), thời gian xử lý (NFR-002), giới hạn dung lượng/số file (NFR-006), người dùng đồng thời (NFR-007). [v0.2] Thêm NFR-021 giới hạn 300 trang/file, khớp với NFR-002 (P-DEF-010 – Closed). Còn lại: tất cả là đề xuất PM, chưa được PO duyệt (D-01…D-03, D-07) – P-DEF-002.
Hành động: PO chốt các giá trị.</t>
        </is>
      </c>
      <c r="F9" s="20" t="inlineStr">
        <is>
          <t>Đạt một phần</t>
        </is>
      </c>
      <c r="G9" s="21" t="inlineStr">
        <is>
          <t>NFR-001, 002, 006, 007, 019…021; 7.2</t>
        </is>
      </c>
    </row>
    <row r="10" ht="28.35" customHeight="1" s="7">
      <c r="A10" s="26" t="n"/>
      <c r="B10" s="17" t="inlineStr">
        <is>
          <t>Security &amp; Privacy</t>
        </is>
      </c>
      <c r="C10" s="17" t="inlineStr">
        <is>
          <t>Are specific security standards, data encryption rules, and RBAC policies defined?</t>
        </is>
      </c>
      <c r="D10" s="18" t="inlineStr">
        <is>
          <t>In Progress</t>
        </is>
      </c>
      <c r="E10" s="19" t="inlineStr">
        <is>
          <t>Có HTTPS/TLS 1.2+, mã hóa khi lưu, kiểm tra quyền theo người dùng, nhật ký kiểm toán, quy tắc nhà cung cấp AI, chính sách xóa dữ liệu, không ghi nội dung vào analytics. Thiếu: định nghĩa vai trò và quyền (RBAC) – chỉ có 'người dùng', chưa có quản trị viên (OQ-102) – P-DEF-003; chưa nêu tiêu chuẩn mã hóa khi lưu; yêu cầu tuân thủ pháp lý/bảo vệ dữ liệu cá nhân vẫn chưa có (kế thừa BRD DEF-002) – P-DEF-004. NFR-009…NFR-013 đều chờ IT/Security.
Hành động: IT/Security xác định vai trò, tiêu chuẩn mã hóa, quy định áp dụng.</t>
        </is>
      </c>
      <c r="F10" s="20" t="inlineStr">
        <is>
          <t>Đạt một phần</t>
        </is>
      </c>
      <c r="G10" s="21" t="inlineStr">
        <is>
          <t>NFR-009…NFR-013; 5.2; OQ-102, OQ-104</t>
        </is>
      </c>
    </row>
    <row r="11" ht="28.35" customHeight="1" s="7">
      <c r="A11" s="26" t="n"/>
      <c r="B11" s="23" t="inlineStr">
        <is>
          <t>Reliability &amp; Availability</t>
        </is>
      </c>
      <c r="C11" s="23" t="inlineStr">
        <is>
          <t>Are uptime SLAs, fault tolerance mechanisms, and recovery time objectives (RTO) explicitly stated?</t>
        </is>
      </c>
      <c r="D11" s="24" t="inlineStr">
        <is>
          <t>In Progress</t>
        </is>
      </c>
      <c r="E11" s="25" t="inlineStr">
        <is>
          <t>NFR-015: 99% trong giờ làm việc (đề xuất). Có hành vi khi dịch vụ AI lỗi (E-06) và thử lại (US-026, US-027). Thiếu: RTO/RPO, sao lưu tài liệu, hành vi khi mất dữ liệu đã xử lý – P-DEF-005.
Hành động: PO + Tech Lead chốt RTO/RPO tối thiểu cho MVP hoặc ghi rõ không cam kết.</t>
        </is>
      </c>
      <c r="F11" s="20" t="inlineStr">
        <is>
          <t>Đạt một phần</t>
        </is>
      </c>
      <c r="G11" s="21" t="inlineStr">
        <is>
          <t>NFR-015; E-05, E-06</t>
        </is>
      </c>
    </row>
    <row r="12" ht="28.35" customHeight="1" s="7">
      <c r="A12" s="22" t="n"/>
      <c r="B12" s="17" t="inlineStr">
        <is>
          <t>Scalability</t>
        </is>
      </c>
      <c r="C12" s="17" t="inlineStr">
        <is>
          <t>Are the requirements for scaling the system under load (e.g., supporting 1,000 concurrent multi-agent orchestrations) documented?</t>
        </is>
      </c>
      <c r="D12" s="18" t="inlineStr">
        <is>
          <t>In Progress</t>
        </is>
      </c>
      <c r="E12" s="19" t="inlineStr">
        <is>
          <t>Có quy mô ban đầu: 20 người dùng đồng thời, 100 tài liệu/người dùng (đề xuất). Chưa có kỳ vọng tăng trưởng (tổng số người dùng, tổng số tài liệu sau 6–12 tháng) – P-DEF-015.
Hành động: PO ước tính quy mô sau MVP (OQ-010).</t>
        </is>
      </c>
      <c r="F12" s="20" t="inlineStr">
        <is>
          <t>Đạt một phần</t>
        </is>
      </c>
      <c r="G12" s="21" t="inlineStr">
        <is>
          <t>NFR-006, NFR-007</t>
        </is>
      </c>
    </row>
    <row r="13" ht="28.35" customHeight="1" s="7">
      <c r="A13" s="17" t="inlineStr">
        <is>
          <t>5. Interface Requirements</t>
        </is>
      </c>
      <c r="B13" s="23" t="inlineStr">
        <is>
          <t>User Interfaces (UI)</t>
        </is>
      </c>
      <c r="C13" s="23" t="inlineStr">
        <is>
          <t>Are the logical characteristics of the UI defined without dictating the exact visual design or layout?</t>
        </is>
      </c>
      <c r="D13" s="24" t="inlineStr">
        <is>
          <t>Done</t>
        </is>
      </c>
      <c r="E13" s="25" t="inlineStr">
        <is>
          <t>Mục 4.1 mô tả bố cục logic hai khu vực, yêu cầu cho từng thành phần, trợ năng; ghi rõ Designer quyết định trình bày chi tiết. 18 trường hợp biên/lỗi ở 4.2. Wireframe dạng chữ chỉ minh họa bố cục logic.</t>
        </is>
      </c>
      <c r="F13" s="20" t="inlineStr">
        <is>
          <t>Đạt</t>
        </is>
      </c>
      <c r="G13" s="21" t="inlineStr">
        <is>
          <t>4.1, 4.2</t>
        </is>
      </c>
    </row>
    <row r="14" ht="28.35" customHeight="1" s="7">
      <c r="A14" s="26" t="n"/>
      <c r="B14" s="17" t="inlineStr">
        <is>
          <t>Hardware Interfaces</t>
        </is>
      </c>
      <c r="C14" s="17" t="inlineStr">
        <is>
          <t>If applicable, are physical connection points, protocols, and hardware interactions defined (e.g., sensor inputs, ROS-2 actuator commands)?</t>
        </is>
      </c>
      <c r="D14" s="18" t="inlineStr">
        <is>
          <t>N/A</t>
        </is>
      </c>
      <c r="E14" s="19" t="inlineStr">
        <is>
          <t>Sản phẩm web, không tương tác phần cứng. PRD đã ghi 'Không áp dụng'.</t>
        </is>
      </c>
      <c r="F14" s="20" t="inlineStr">
        <is>
          <t>Không áp dụng</t>
        </is>
      </c>
      <c r="G14" s="21" t="inlineStr">
        <is>
          <t>6.2</t>
        </is>
      </c>
    </row>
    <row r="15" ht="28.35" customHeight="1" s="7">
      <c r="A15" s="26" t="n"/>
      <c r="B15" s="23" t="inlineStr">
        <is>
          <t>Software Interfaces</t>
        </is>
      </c>
      <c r="C15" s="23" t="inlineStr">
        <is>
          <t>Are integrations with external APIs, operating systems, databases, or legacy systems fully documented?</t>
        </is>
      </c>
      <c r="D15" s="24" t="inlineStr">
        <is>
          <t>Pending</t>
        </is>
      </c>
      <c r="E15" s="25" t="inlineStr">
        <is>
          <t>Mới chỉ liệt kê tên: dịch vụ AI (nhà cung cấp TBD) và hệ thống xác thực (TBD). Chưa có: dữ liệu trao đổi với dịch vụ AI, giới hạn/hạn mức của nhà cung cấp, hành vi khi vượt hạn mức, hệ thống lưu trữ tài liệu, tích hợp tài khoản doanh nghiệp – P-DEF-001.
Hành động: chốt OQ-005, OQ-102; bổ sung bảng giao diện phần mềm (hệ thống, dữ liệu vào/ra, giới hạn, xử lý lỗi).</t>
        </is>
      </c>
      <c r="F15" s="20" t="inlineStr">
        <is>
          <t>Chưa đạt</t>
        </is>
      </c>
      <c r="G15" s="21" t="inlineStr">
        <is>
          <t>6.2; OQ-005, OQ-102</t>
        </is>
      </c>
    </row>
    <row r="16" ht="28.35" customHeight="1" s="7">
      <c r="A16" s="22" t="n"/>
      <c r="B16" s="17" t="inlineStr">
        <is>
          <t>Communication Interfaces</t>
        </is>
      </c>
      <c r="C16" s="17" t="inlineStr">
        <is>
          <t>Are network protocols and communication standards (e.g., HTTPS, MQTT, WebSockets) specified?</t>
        </is>
      </c>
      <c r="D16" s="18" t="inlineStr">
        <is>
          <t>Done</t>
        </is>
      </c>
      <c r="E16" s="19" t="inlineStr">
        <is>
          <t>HTTPS cho mọi kết nối (NFR-009). Cơ chế cập nhật trạng thái theo thời gian thực (US-007) để cho thiết kế quyết định – phù hợp mức PRD.</t>
        </is>
      </c>
      <c r="F16" s="20" t="inlineStr">
        <is>
          <t>Đạt</t>
        </is>
      </c>
      <c r="G16" s="21" t="inlineStr">
        <is>
          <t>6.2; NFR-009</t>
        </is>
      </c>
    </row>
    <row r="17" ht="28.35" customHeight="1" s="7">
      <c r="A17" s="23" t="inlineStr">
        <is>
          <t>6. Constraints &amp; Assumptions</t>
        </is>
      </c>
      <c r="B17" s="23" t="inlineStr">
        <is>
          <t>Design Constraints</t>
        </is>
      </c>
      <c r="C17" s="23" t="inlineStr">
        <is>
          <t>Are technology mandates, regulatory compliance (e.g., GDPR), and physical restrictions documented?</t>
        </is>
      </c>
      <c r="D17" s="24" t="inlineStr">
        <is>
          <t>In Progress</t>
        </is>
      </c>
      <c r="E17" s="25" t="inlineStr">
        <is>
          <t>Kế thừa CON-001…CON-007 từ BRD. Yêu cầu tuân thủ pháp lý (bảo vệ dữ liệu cá nhân) vẫn chưa có – P-DEF-004; ngân sách/thời hạn (CON-006) chưa có.</t>
        </is>
      </c>
      <c r="F17" s="20" t="inlineStr">
        <is>
          <t>Đạt một phần</t>
        </is>
      </c>
      <c r="G17" s="21" t="inlineStr">
        <is>
          <t>6.3; BRD 4.9</t>
        </is>
      </c>
    </row>
    <row r="18" ht="28.35" customHeight="1" s="7">
      <c r="A18" s="22" t="n"/>
      <c r="B18" s="17" t="inlineStr">
        <is>
          <t>Dependencies</t>
        </is>
      </c>
      <c r="C18" s="17" t="inlineStr">
        <is>
          <t>Are external dependencies that the product relies upon to function clearly listed?</t>
        </is>
      </c>
      <c r="D18" s="18" t="inlineStr">
        <is>
          <t>Done</t>
        </is>
      </c>
      <c r="E18" s="19" t="inlineStr">
        <is>
          <t>Kế thừa DEP-001…DEP-005; DEP-005 (bộ câu hỏi kiểm thử) gắn với launch gate G-02. Dịch vụ AI và hệ thống xác thực được nêu ở 6.2.</t>
        </is>
      </c>
      <c r="F18" s="20" t="inlineStr">
        <is>
          <t>Đạt</t>
        </is>
      </c>
      <c r="G18" s="21" t="inlineStr">
        <is>
          <t>6.4; G-02</t>
        </is>
      </c>
    </row>
    <row r="19" ht="28.35" customHeight="1" s="7">
      <c r="A19" s="17" t="inlineStr">
        <is>
          <t>7. Requirements Quality Check</t>
        </is>
      </c>
      <c r="B19" s="23" t="inlineStr">
        <is>
          <t>Unambiguous Language</t>
        </is>
      </c>
      <c r="C19" s="23" t="inlineStr">
        <is>
          <t>Is the language clear, avoiding subjective terms like 'fast', 'user-friendly', or 'robust'?</t>
        </is>
      </c>
      <c r="D19" s="24" t="inlineStr">
        <is>
          <t>Done</t>
        </is>
      </c>
      <c r="E19" s="25" t="inlineStr">
        <is>
          <t>[v0.2] Thêm bảng mã lý do thất bại R-01…R-04, chỉ R-04 được xử lý lại; 'thông báo ngắn' → tự ẩn sau ≤ 5 giây, không che ô hỏi; 'hình thức khác biệt' → nhãn 'Chưa đủ thông tin', không có phần nguồn; NFR-011 → chỉ gửi đoạn nội dung làm căn cứ, không gửi toàn bộ tài liệu (P-DEF-009 – Closed).</t>
        </is>
      </c>
      <c r="F19" s="20" t="inlineStr">
        <is>
          <t>Đạt</t>
        </is>
      </c>
      <c r="G19" s="21" t="inlineStr">
        <is>
          <t>3.3 Mã lý do; 4.1; US-007, US-009; NFR-011</t>
        </is>
      </c>
    </row>
    <row r="20" ht="28.35" customHeight="1" s="7">
      <c r="A20" s="26" t="n"/>
      <c r="B20" s="17" t="inlineStr">
        <is>
          <t>Traceable &amp; Numbered</t>
        </is>
      </c>
      <c r="C20" s="17" t="inlineStr">
        <is>
          <t>Does each requirement have a unique identifier (e.g., 'REQ-001') so it can be tracked through design and testing?</t>
        </is>
      </c>
      <c r="D20" s="18" t="inlineStr">
        <is>
          <t>Done</t>
        </is>
      </c>
      <c r="E20" s="19" t="inlineStr">
        <is>
          <t>Mọi yêu cầu có ID duy nhất (US, NFR, E, G, EVT, D, OQ); ma trận BR → story/NFR bao phủ 29/29 BR; các mục không có BR được nêu rõ (US-019, NFR-011, NFR-012).</t>
        </is>
      </c>
      <c r="F20" s="20" t="inlineStr">
        <is>
          <t>Đạt</t>
        </is>
      </c>
      <c r="G20" s="21" t="inlineStr">
        <is>
          <t>8</t>
        </is>
      </c>
    </row>
    <row r="21" ht="28.35" customHeight="1" s="7">
      <c r="A21" s="22" t="n"/>
      <c r="B21" s="23" t="inlineStr">
        <is>
          <t>Consistent</t>
        </is>
      </c>
      <c r="C21" s="23" t="inlineStr">
        <is>
          <t>Are there any conflicting requirements (e.g., one requiring maximum security and another requiring anonymous access)?</t>
        </is>
      </c>
      <c r="D21" s="24" t="inlineStr">
        <is>
          <t>Done</t>
        </is>
      </c>
      <c r="E21" s="25" t="inlineStr">
        <is>
          <t>Không phát hiện xung đột (vd. không có yêu cầu truy cập ẩn danh). [v0.2] Đã xử lý 3 điểm không nhất quán: thêm NFR-021 (300 trang) – P-DEF-010; US-023 viết lại theo persona P1 – P-DEF-011; thêm E-19 và AC US-022 cho nguồn trỏ tới tài liệu đã xóa – P-DEF-012 (đều Closed).</t>
        </is>
      </c>
      <c r="F21" s="20" t="inlineStr">
        <is>
          <t>Đạt</t>
        </is>
      </c>
      <c r="G21" s="21" t="inlineStr">
        <is>
          <t>NFR-002, NFR-021; US-023; E-13, E-19</t>
        </is>
      </c>
    </row>
  </sheetData>
  <autoFilter ref="A1:E21"/>
  <mergeCells count="7">
    <mergeCell ref="A13:A16"/>
    <mergeCell ref="A9:A12"/>
    <mergeCell ref="A17:A18"/>
    <mergeCell ref="A4:A5"/>
    <mergeCell ref="A19:A21"/>
    <mergeCell ref="A2:A3"/>
    <mergeCell ref="A6:A8"/>
  </mergeCells>
  <conditionalFormatting sqref="D2:D21">
    <cfRule type="cellIs" rank="0" priority="2" equalAverage="0" operator="equal" aboveAverage="0" dxfId="5" text="" percent="0" bottom="0">
      <formula>"Done"</formula>
    </cfRule>
    <cfRule type="cellIs" rank="0" priority="3" equalAverage="0" operator="equal" aboveAverage="0" dxfId="6" text="" percent="0" bottom="0">
      <formula>"In Progress"</formula>
    </cfRule>
    <cfRule type="cellIs" rank="0" priority="4" equalAverage="0" operator="equal" aboveAverage="0" dxfId="7" text="" percent="0" bottom="0">
      <formula>"Pending"</formula>
    </cfRule>
    <cfRule type="cellIs" rank="0" priority="5" equalAverage="0" operator="equal" aboveAverage="0" dxfId="8" text="" percent="0" bottom="0">
      <formula>"N/A"</formula>
    </cfRule>
  </conditionalFormatting>
  <conditionalFormatting sqref="F2:F21">
    <cfRule type="cellIs" priority="5" operator="equal" dxfId="9">
      <formula>"Đạt"</formula>
    </cfRule>
    <cfRule type="cellIs" priority="6" operator="equal" dxfId="10">
      <formula>"Đạt một phần"</formula>
    </cfRule>
    <cfRule type="cellIs" priority="7" operator="equal" dxfId="11">
      <formula>"Chưa đạt"</formula>
    </cfRule>
    <cfRule type="cellIs" priority="8" operator="equal" dxfId="12">
      <formula>"Không áp dụng"</formula>
    </cfRule>
  </conditionalFormatting>
  <dataValidations count="2">
    <dataValidation sqref="D2:D21" showDropDown="0" showInputMessage="0" showErrorMessage="0" allowBlank="1" errorTitle="Invalid Entry" error="Your entry is not in the list" promptTitle="Select Status" prompt="Please select from the list" type="list" errorStyle="stop" operator="between">
      <formula1>"Pending,In Progress,Done,N/A"</formula1>
      <formula2>0</formula2>
    </dataValidation>
    <dataValidation sqref="F2:F21" showDropDown="0" showInputMessage="0" showErrorMessage="0" allowBlank="1" type="list">
      <formula1>"Đạt,Đạt một phần,Chưa đạt,Không áp dụng"</formula1>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H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style="7" min="1" max="1"/>
    <col width="10" customWidth="1" style="7" min="2" max="2"/>
    <col width="30" customWidth="1" style="7" min="3" max="3"/>
    <col width="30" customWidth="1" style="7" min="4" max="4"/>
    <col width="60" customWidth="1" style="7" min="5" max="5"/>
    <col width="55" customWidth="1" style="7" min="6" max="6"/>
    <col width="18" customWidth="1" style="7" min="7" max="7"/>
    <col width="12" customWidth="1" style="7" min="8" max="8"/>
  </cols>
  <sheetData>
    <row r="1">
      <c r="A1" s="27" t="inlineStr">
        <is>
          <t>ID</t>
        </is>
      </c>
      <c r="B1" s="27" t="inlineStr">
        <is>
          <t>Mức độ</t>
        </is>
      </c>
      <c r="C1" s="27" t="inlineStr">
        <is>
          <t>Tiêu chí checklist</t>
        </is>
      </c>
      <c r="D1" s="27" t="inlineStr">
        <is>
          <t>Mục / ID trong PRD</t>
        </is>
      </c>
      <c r="E1" s="27" t="inlineStr">
        <is>
          <t>Phát hiện</t>
        </is>
      </c>
      <c r="F1" s="27" t="inlineStr">
        <is>
          <t>Khuyến nghị</t>
        </is>
      </c>
      <c r="G1" s="27" t="inlineStr">
        <is>
          <t>Owner</t>
        </is>
      </c>
      <c r="H1" s="27" t="inlineStr">
        <is>
          <t>Trạng thái</t>
        </is>
      </c>
    </row>
    <row r="2">
      <c r="A2" s="28" t="inlineStr">
        <is>
          <t>P-DEF-001</t>
        </is>
      </c>
      <c r="B2" s="28" t="inlineStr">
        <is>
          <t>High</t>
        </is>
      </c>
      <c r="C2" s="28" t="inlineStr">
        <is>
          <t>Software Interfaces</t>
        </is>
      </c>
      <c r="D2" s="28" t="inlineStr">
        <is>
          <t>6.2</t>
        </is>
      </c>
      <c r="E2" s="28" t="inlineStr">
        <is>
          <t>Giao diện phần mềm mới chỉ có tên (dịch vụ AI, hệ thống xác thực), chưa có dữ liệu trao đổi, giới hạn, xử lý lỗi; chưa nêu hệ thống lưu trữ tài liệu.</t>
        </is>
      </c>
      <c r="F2" s="28" t="inlineStr">
        <is>
          <t>Chốt OQ-005, OQ-102; thêm bảng giao diện phần mềm.</t>
        </is>
      </c>
      <c r="G2" s="28" t="inlineStr">
        <is>
          <t>Tech Lead + IT/Security</t>
        </is>
      </c>
      <c r="H2" s="28" t="inlineStr">
        <is>
          <t>Open</t>
        </is>
      </c>
    </row>
    <row r="3">
      <c r="A3" s="28" t="inlineStr">
        <is>
          <t>P-DEF-002</t>
        </is>
      </c>
      <c r="B3" s="28" t="inlineStr">
        <is>
          <t>High</t>
        </is>
      </c>
      <c r="C3" s="28" t="inlineStr">
        <is>
          <t>Verifiable / Performance &amp; Capacity</t>
        </is>
      </c>
      <c r="D3" s="28" t="inlineStr">
        <is>
          <t>7.2 D-01…D-13; NFR-001…NFR-008, NFR-015</t>
        </is>
      </c>
      <c r="E3" s="28" t="inlineStr">
        <is>
          <t>Toàn bộ ngưỡng hiệu năng, chất lượng, dung lượng, khả dụng là đề xuất PM chưa được duyệt; AC phụ thuộc chưa thể dùng để nghiệm thu.</t>
        </is>
      </c>
      <c r="F3" s="28" t="inlineStr">
        <is>
          <t>PO chốt D-01…D-13 trong một buổi review; cập nhật PRD và BRD (OQ-003, 006, 009, 010, 011).</t>
        </is>
      </c>
      <c r="G3" s="28" t="inlineStr">
        <is>
          <t>PO</t>
        </is>
      </c>
      <c r="H3" s="28" t="inlineStr">
        <is>
          <t>Open</t>
        </is>
      </c>
    </row>
    <row r="4">
      <c r="A4" s="28" t="inlineStr">
        <is>
          <t>P-DEF-003</t>
        </is>
      </c>
      <c r="B4" s="28" t="inlineStr">
        <is>
          <t>Medium</t>
        </is>
      </c>
      <c r="C4" s="28" t="inlineStr">
        <is>
          <t>Security &amp; Privacy / User Characteristics</t>
        </is>
      </c>
      <c r="D4" s="28" t="inlineStr">
        <is>
          <t>2.1, 3.7, NFR-010</t>
        </is>
      </c>
      <c r="E4" s="28" t="inlineStr">
        <is>
          <t>Chưa định nghĩa vai trò và quyền (RBAC); không có persona/story cho quản trị viên cấp và thu hồi quyền.</t>
        </is>
      </c>
      <c r="F4" s="28" t="inlineStr">
        <is>
          <t>Chốt OQ-001, OQ-102; thêm vai trò, ma trận quyền và story quản trị.</t>
        </is>
      </c>
      <c r="G4" s="28" t="inlineStr">
        <is>
          <t>PO + IT/Security</t>
        </is>
      </c>
      <c r="H4" s="28" t="inlineStr">
        <is>
          <t>Open</t>
        </is>
      </c>
    </row>
    <row r="5">
      <c r="A5" s="28" t="inlineStr">
        <is>
          <t>P-DEF-004</t>
        </is>
      </c>
      <c r="B5" s="28" t="inlineStr">
        <is>
          <t>Medium</t>
        </is>
      </c>
      <c r="C5" s="28" t="inlineStr">
        <is>
          <t>Security &amp; Privacy / Design Constraints</t>
        </is>
      </c>
      <c r="D5" s="28" t="inlineStr">
        <is>
          <t>6.3, NFR-012</t>
        </is>
      </c>
      <c r="E5" s="28" t="inlineStr">
        <is>
          <t>Chưa có yêu cầu tuân thủ pháp lý về bảo vệ dữ liệu cá nhân (kế thừa BRD DEF-002); thời gian lưu nhật ký 90 ngày là đề xuất chưa có căn cứ.</t>
        </is>
      </c>
      <c r="F5" s="28" t="inlineStr">
        <is>
          <t>IT/Security + Pháp chế xác định quy định áp dụng và thời gian lưu nhật ký.</t>
        </is>
      </c>
      <c r="G5" s="28" t="inlineStr">
        <is>
          <t>IT/Security</t>
        </is>
      </c>
      <c r="H5" s="28" t="inlineStr">
        <is>
          <t>Open</t>
        </is>
      </c>
    </row>
    <row r="6">
      <c r="A6" s="28" t="inlineStr">
        <is>
          <t>P-DEF-005</t>
        </is>
      </c>
      <c r="B6" s="28" t="inlineStr">
        <is>
          <t>Medium</t>
        </is>
      </c>
      <c r="C6" s="28" t="inlineStr">
        <is>
          <t>Reliability &amp; Availability</t>
        </is>
      </c>
      <c r="D6" s="28" t="inlineStr">
        <is>
          <t>NFR-015</t>
        </is>
      </c>
      <c r="E6" s="28" t="inlineStr">
        <is>
          <t>Không có RTO/RPO, yêu cầu sao lưu, hành vi khi mất dữ liệu đã xử lý.</t>
        </is>
      </c>
      <c r="F6" s="28" t="inlineStr">
        <is>
          <t>Chốt RTO/RPO tối thiểu cho MVP hoặc ghi rõ không cam kết kèm lý do.</t>
        </is>
      </c>
      <c r="G6" s="28" t="inlineStr">
        <is>
          <t>PO + Tech Lead</t>
        </is>
      </c>
      <c r="H6" s="28" t="inlineStr">
        <is>
          <t>Open</t>
        </is>
      </c>
    </row>
    <row r="7">
      <c r="A7" s="28" t="inlineStr">
        <is>
          <t>P-DEF-006</t>
        </is>
      </c>
      <c r="B7" s="28" t="inlineStr">
        <is>
          <t>Medium</t>
        </is>
      </c>
      <c r="C7" s="28" t="inlineStr">
        <is>
          <t>Singular &amp; Complete</t>
        </is>
      </c>
      <c r="D7" s="28" t="inlineStr">
        <is>
          <t>NFR-004, NFR-006, NFR-009, NFR-012, NFR-014</t>
        </is>
      </c>
      <c r="E7" s="28" t="inlineStr">
        <is>
          <t>5 NFR gộp nhiều yêu cầu trong một ID, khó kiểm thử và truy vết riêng.</t>
        </is>
      </c>
      <c r="F7" s="28" t="inlineStr">
        <is>
          <t>Tách thành NFR riêng (vd. NFR-004a tên tài liệu, NFR-004b số trang) hoặc cấp ID mới.</t>
        </is>
      </c>
      <c r="G7" s="28" t="inlineStr">
        <is>
          <t>PM/BA</t>
        </is>
      </c>
      <c r="H7" s="28" t="inlineStr">
        <is>
          <t>Closed</t>
        </is>
      </c>
    </row>
    <row r="8">
      <c r="A8" s="28" t="inlineStr">
        <is>
          <t>P-DEF-007</t>
        </is>
      </c>
      <c r="B8" s="28" t="inlineStr">
        <is>
          <t>Medium</t>
        </is>
      </c>
      <c r="C8" s="28" t="inlineStr">
        <is>
          <t>Verifiable</t>
        </is>
      </c>
      <c r="D8" s="28" t="inlineStr">
        <is>
          <t>US-009, US-015, US-018, US-019, US-022, US-027</t>
        </is>
      </c>
      <c r="E8" s="28" t="inlineStr">
        <is>
          <t>Story P1/P2 không có tiêu chí nghiệm thu.</t>
        </is>
      </c>
      <c r="F8" s="28" t="inlineStr">
        <is>
          <t>Viết AC Given-When-Then trước khi đưa story vào sprint.</t>
        </is>
      </c>
      <c r="G8" s="28" t="inlineStr">
        <is>
          <t>PM/BA</t>
        </is>
      </c>
      <c r="H8" s="28" t="inlineStr">
        <is>
          <t>Closed</t>
        </is>
      </c>
    </row>
    <row r="9">
      <c r="A9" s="28" t="inlineStr">
        <is>
          <t>P-DEF-008</t>
        </is>
      </c>
      <c r="B9" s="28" t="inlineStr">
        <is>
          <t>Low</t>
        </is>
      </c>
      <c r="C9" s="28" t="inlineStr">
        <is>
          <t>Implementation-Free</t>
        </is>
      </c>
      <c r="D9" s="28" t="inlineStr">
        <is>
          <t>NFR-010; 4.1; US-004</t>
        </is>
      </c>
      <c r="E9" s="28" t="inlineStr">
        <is>
          <t>Có chi tiết cách làm: 'kiểm tra quyền phía máy chủ', 'Enter/Shift+Enter', 'từ chối trước khi tải lên'.</t>
        </is>
      </c>
      <c r="F9" s="28" t="inlineStr">
        <is>
          <t>Diễn đạt theo kết quả hoặc chuyển sang ghi chú thiết kế.</t>
        </is>
      </c>
      <c r="G9" s="28" t="inlineStr">
        <is>
          <t>PM/BA</t>
        </is>
      </c>
      <c r="H9" s="28" t="inlineStr">
        <is>
          <t>Closed</t>
        </is>
      </c>
    </row>
    <row r="10">
      <c r="A10" s="28" t="inlineStr">
        <is>
          <t>P-DEF-009</t>
        </is>
      </c>
      <c r="B10" s="28" t="inlineStr">
        <is>
          <t>Low</t>
        </is>
      </c>
      <c r="C10" s="28" t="inlineStr">
        <is>
          <t>Unambiguous Language</t>
        </is>
      </c>
      <c r="D10" s="28" t="inlineStr">
        <is>
          <t>4.1; US-007, US-009; NFR-011</t>
        </is>
      </c>
      <c r="E10" s="28" t="inlineStr">
        <is>
          <t>Cụm chưa định nghĩa: 'lỗi có thể khắc phục', 'lỗi tạm thời', 'phần nội dung cần thiết', 'thông báo ngắn', 'hình thức khác biệt'.</t>
        </is>
      </c>
      <c r="F10" s="28" t="inlineStr">
        <is>
          <t>Định nghĩa danh sách lỗi được xử lý lại và tiêu chí kiểm chứng cho từng cụm.</t>
        </is>
      </c>
      <c r="G10" s="28" t="inlineStr">
        <is>
          <t>PM/BA</t>
        </is>
      </c>
      <c r="H10" s="28" t="inlineStr">
        <is>
          <t>Closed</t>
        </is>
      </c>
    </row>
    <row r="11">
      <c r="A11" s="28" t="inlineStr">
        <is>
          <t>P-DEF-010</t>
        </is>
      </c>
      <c r="B11" s="28" t="inlineStr">
        <is>
          <t>Low</t>
        </is>
      </c>
      <c r="C11" s="28" t="inlineStr">
        <is>
          <t>Consistent / Performance &amp; Capacity</t>
        </is>
      </c>
      <c r="D11" s="28" t="inlineStr">
        <is>
          <t>NFR-002, NFR-006</t>
        </is>
      </c>
      <c r="E11" s="28" t="inlineStr">
        <is>
          <t>NFR-002 dùng file 20 MB / 300 trang làm chuẩn nhưng NFR-006 không có giới hạn số trang.</t>
        </is>
      </c>
      <c r="F11" s="28" t="inlineStr">
        <is>
          <t>Thêm giới hạn số trang vào NFR-006 hoặc bỏ '300 trang' khỏi NFR-002.</t>
        </is>
      </c>
      <c r="G11" s="28" t="inlineStr">
        <is>
          <t>PM/BA</t>
        </is>
      </c>
      <c r="H11" s="28" t="inlineStr">
        <is>
          <t>Closed</t>
        </is>
      </c>
    </row>
    <row r="12">
      <c r="A12" s="28" t="inlineStr">
        <is>
          <t>P-DEF-011</t>
        </is>
      </c>
      <c r="B12" s="28" t="inlineStr">
        <is>
          <t>Low</t>
        </is>
      </c>
      <c r="C12" s="28" t="inlineStr">
        <is>
          <t>Consistent</t>
        </is>
      </c>
      <c r="D12" s="28" t="inlineStr">
        <is>
          <t>US-023; 2.1</t>
        </is>
      </c>
      <c r="E12" s="28" t="inlineStr">
        <is>
          <t>US-023 dùng vai trò 'chủ sở hữu tài liệu' không có trong danh sách persona.</t>
        </is>
      </c>
      <c r="F12" s="28" t="inlineStr">
        <is>
          <t>Thêm vai trò này vào 2.1 (persona phụ hoặc stakeholder) hoặc viết lại story theo P1.</t>
        </is>
      </c>
      <c r="G12" s="28" t="inlineStr">
        <is>
          <t>PM/BA</t>
        </is>
      </c>
      <c r="H12" s="28" t="inlineStr">
        <is>
          <t>Closed</t>
        </is>
      </c>
    </row>
    <row r="13">
      <c r="A13" s="28" t="inlineStr">
        <is>
          <t>P-DEF-012</t>
        </is>
      </c>
      <c r="B13" s="28" t="inlineStr">
        <is>
          <t>Low</t>
        </is>
      </c>
      <c r="C13" s="28" t="inlineStr">
        <is>
          <t>Consistent</t>
        </is>
      </c>
      <c r="D13" s="28" t="inlineStr">
        <is>
          <t>E-13; US-022</t>
        </is>
      </c>
      <c r="E13" s="28" t="inlineStr">
        <is>
          <t>Câu trả lời tạo trong lúc xóa tài liệu vẫn trích dẫn tài liệu đó; chưa nêu hành vi khi người dùng bấm vào nguồn đã bị xóa.</t>
        </is>
      </c>
      <c r="F13" s="28" t="inlineStr">
        <is>
          <t>Thêm trường hợp biên: nguồn trỏ tới tài liệu đã xóa → hiển thị 'tài liệu đã bị xóa', không mở được.</t>
        </is>
      </c>
      <c r="G13" s="28" t="inlineStr">
        <is>
          <t>PM/BA</t>
        </is>
      </c>
      <c r="H13" s="28" t="inlineStr">
        <is>
          <t>Closed</t>
        </is>
      </c>
    </row>
    <row r="14">
      <c r="A14" s="28" t="inlineStr">
        <is>
          <t>P-DEF-013</t>
        </is>
      </c>
      <c r="B14" s="28" t="inlineStr">
        <is>
          <t>Low</t>
        </is>
      </c>
      <c r="C14" s="28" t="inlineStr">
        <is>
          <t>Purpose &amp; Scope</t>
        </is>
      </c>
      <c r="D14" s="28" t="inlineStr">
        <is>
          <t>0, 6.3</t>
        </is>
      </c>
      <c r="E14" s="28" t="inlineStr">
        <is>
          <t>PRD không có mục phạm vi riêng; chỉ tham chiếu BRD 4.5.</t>
        </is>
      </c>
      <c r="F14" s="28" t="inlineStr">
        <is>
          <t>Thêm mục Phạm vi: trong phạm vi, ngoài phạm vi, hoãn lại (US-019 P2), ranh giới.</t>
        </is>
      </c>
      <c r="G14" s="28" t="inlineStr">
        <is>
          <t>PM/BA</t>
        </is>
      </c>
      <c r="H14" s="28" t="inlineStr">
        <is>
          <t>Closed</t>
        </is>
      </c>
    </row>
    <row r="15">
      <c r="A15" s="28" t="inlineStr">
        <is>
          <t>P-DEF-014</t>
        </is>
      </c>
      <c r="B15" s="28" t="inlineStr">
        <is>
          <t>Medium</t>
        </is>
      </c>
      <c r="C15" s="28" t="inlineStr">
        <is>
          <t>User Characteristics</t>
        </is>
      </c>
      <c r="D15" s="28" t="inlineStr">
        <is>
          <t>2.1</t>
        </is>
      </c>
      <c r="E15" s="28" t="inlineStr">
        <is>
          <t>Persona P1/P2 hoàn toàn là giả định, chưa có dữ liệu người dùng thật.</t>
        </is>
      </c>
      <c r="F15" s="28" t="inlineStr">
        <is>
          <t>Phỏng vấn ≥ 5 người dùng (SRC-003) và cập nhật persona.</t>
        </is>
      </c>
      <c r="G15" s="28" t="inlineStr">
        <is>
          <t>BA</t>
        </is>
      </c>
      <c r="H15" s="28" t="inlineStr">
        <is>
          <t>Open</t>
        </is>
      </c>
    </row>
    <row r="16">
      <c r="A16" s="28" t="inlineStr">
        <is>
          <t>P-DEF-015</t>
        </is>
      </c>
      <c r="B16" s="28" t="inlineStr">
        <is>
          <t>Low</t>
        </is>
      </c>
      <c r="C16" s="28" t="inlineStr">
        <is>
          <t>Scalability</t>
        </is>
      </c>
      <c r="D16" s="28" t="inlineStr">
        <is>
          <t>NFR-006, NFR-007</t>
        </is>
      </c>
      <c r="E16" s="28" t="inlineStr">
        <is>
          <t>Chưa có kỳ vọng tăng trưởng sau MVP (tổng người dùng, tổng tài liệu).</t>
        </is>
      </c>
      <c r="F16" s="28" t="inlineStr">
        <is>
          <t>PO ước tính quy mô 6–12 tháng (OQ-010).</t>
        </is>
      </c>
      <c r="G16" s="28" t="inlineStr">
        <is>
          <t>PO</t>
        </is>
      </c>
      <c r="H16" s="28" t="inlineStr">
        <is>
          <t>Open</t>
        </is>
      </c>
    </row>
  </sheetData>
  <conditionalFormatting sqref="B2:B16">
    <cfRule type="cellIs" priority="1" operator="equal" dxfId="11">
      <formula>"High"</formula>
    </cfRule>
    <cfRule type="cellIs" priority="2" operator="equal" dxfId="10">
      <formula>"Medium"</formula>
    </cfRule>
  </conditionalFormatting>
  <dataValidations count="2">
    <dataValidation sqref="B2:B16" showDropDown="0" showInputMessage="0" showErrorMessage="0" allowBlank="1" type="list">
      <formula1>"High,Medium,Low"</formula1>
    </dataValidation>
    <dataValidation sqref="H2:H16" showDropDown="0" showInputMessage="0" showErrorMessage="0" allowBlank="1" type="list">
      <formula1>"Open,In Progress,Closed"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2026-07-15T15:27:04Z</dcterms:created>
  <dcterms:modified xsi:type="dcterms:W3CDTF">2026-10-23T14:44:00Z</dcterms:modified>
  <cp:revision>1</cp:revision>
</cp:coreProperties>
</file>