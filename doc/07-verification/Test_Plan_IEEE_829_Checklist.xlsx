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ổng hợp" sheetId="1" state="visible" r:id="rId1"/>
    <sheet name="IEEE 829 Test Plan Checklist" sheetId="2" state="visible" r:id="rId2"/>
    <sheet name="Phát hiện chi tiết" sheetId="3" state="visible" r:id="rId3"/>
  </sheets>
  <definedNames>
    <definedName name="_xlnm._FilterDatabase" localSheetId="1" hidden="1">'IEEE 829 Test Plan Checklist'!$A$1:$G$19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b val="1"/>
      <color rgb="FFFFFFFF"/>
      <sz val="12"/>
    </font>
    <font>
      <b val="1"/>
      <sz val="14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900C3F"/>
        <bgColor rgb="FF800000"/>
      </patternFill>
    </fill>
    <fill>
      <patternFill patternType="solid">
        <fgColor rgb="FFFDEDEC"/>
        <bgColor rgb="FFFFFFFF"/>
      </patternFill>
    </fill>
    <fill>
      <patternFill patternType="solid">
        <fgColor rgb="FFFFFFFF"/>
        <bgColor rgb="FFFDEDEC"/>
      </patternFill>
    </fill>
    <fill>
      <patternFill patternType="solid">
        <fgColor rgb="FF2C3E50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vertical="top" wrapText="1"/>
    </xf>
    <xf numFmtId="9" fontId="0" fillId="0" borderId="0" pivotButton="0" quotePrefix="0" xfId="0"/>
    <xf numFmtId="0" fontId="0" fillId="0" borderId="0" applyAlignment="1" pivotButton="0" quotePrefix="0" xfId="0">
      <alignment horizontal="general" vertical="center"/>
    </xf>
    <xf numFmtId="0" fontId="5" fillId="5" borderId="5" applyAlignment="1" pivotButton="0" quotePrefix="0" xfId="0">
      <alignment vertical="top" wrapText="1"/>
    </xf>
    <xf numFmtId="0" fontId="0" fillId="3" borderId="5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4" borderId="5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900C3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  <dxf>
      <fill>
        <patternFill patternType="solid">
          <fgColor rgb="FFE3F3E9"/>
        </patternFill>
      </fill>
    </dxf>
    <dxf>
      <fill>
        <patternFill patternType="solid">
          <fgColor rgb="FFFFF3D6"/>
        </patternFill>
      </fill>
    </dxf>
    <dxf>
      <fill>
        <patternFill patternType="solid">
          <fgColor rgb="FFFCE9E7"/>
        </patternFill>
      </fill>
    </dxf>
    <dxf>
      <fill>
        <patternFill patternType="solid">
          <fgColor rgb="FFF0F2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00C3F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style="7" min="1" max="1"/>
    <col width="80" customWidth="1" style="7" min="2" max="2"/>
    <col width="14" customWidth="1" style="7" min="3" max="3"/>
  </cols>
  <sheetData>
    <row r="1">
      <c r="A1" s="8" t="inlineStr">
        <is>
          <t>Kết quả review Test Plan theo checklist IEEE 829</t>
        </is>
      </c>
      <c r="B1" s="9" t="inlineStr"/>
      <c r="C1" t="inlineStr"/>
    </row>
    <row r="2">
      <c r="A2" s="10" t="inlineStr">
        <is>
          <t>Tài liệu được review</t>
        </is>
      </c>
      <c r="B2" s="9" t="inlineStr">
        <is>
          <t>doc/07-verification/TEST_PLAN.md – TP-AICHAT-001</t>
        </is>
      </c>
      <c r="C2" t="inlineStr"/>
    </row>
    <row r="3">
      <c r="A3" s="10" t="inlineStr">
        <is>
          <t>Phiên bản Test Plan</t>
        </is>
      </c>
      <c r="B3" s="9" t="inlineStr">
        <is>
          <t>0.1 (Draft) → 0.2 (Draft): đã sửa 12/14 phát hiện; 2 đang chờ PO (OQ-015, OQ-007)</t>
        </is>
      </c>
      <c r="C3" t="inlineStr"/>
    </row>
    <row r="4">
      <c r="A4" s="10" t="inlineStr">
        <is>
          <t>Tài liệu gốc</t>
        </is>
      </c>
      <c r="B4" s="9" t="inlineStr">
        <is>
          <t>BRD v0.2, PRD v0.2, USER_STORIES v0.1, SAD v0.4, BLUEPRINT v0.3, API_DESIGN v0.1, PLAN v0.1</t>
        </is>
      </c>
      <c r="C4" t="inlineStr"/>
    </row>
    <row r="5">
      <c r="A5" s="10" t="inlineStr">
        <is>
          <t>Checklist</t>
        </is>
      </c>
      <c r="B5" s="9" t="inlineStr">
        <is>
          <t>doc/templates/Test_Plan_IEEE_829_Checklist.xlsx</t>
        </is>
      </c>
      <c r="C5" t="inlineStr"/>
    </row>
    <row r="6">
      <c r="A6" s="10" t="inlineStr">
        <is>
          <t>Ngày review</t>
        </is>
      </c>
      <c r="B6" s="9" t="inlineStr">
        <is>
          <t>2026-10-26</t>
        </is>
      </c>
      <c r="C6" t="inlineStr"/>
    </row>
    <row r="7">
      <c r="A7" s="10" t="inlineStr">
        <is>
          <t>Người review</t>
        </is>
      </c>
      <c r="B7" s="9" t="inlineStr">
        <is>
          <t>Claude (AI review) – Test Plan do chính Claude soạn, cần QA Lead/PO review độc lập</t>
        </is>
      </c>
      <c r="C7" t="inlineStr"/>
    </row>
    <row r="8">
      <c r="A8" s="10" t="inlineStr"/>
      <c r="B8" s="9" t="inlineStr"/>
      <c r="C8" t="inlineStr"/>
    </row>
    <row r="9">
      <c r="A9" s="10" t="inlineStr"/>
      <c r="B9" s="9" t="inlineStr"/>
      <c r="C9" t="inlineStr"/>
    </row>
    <row r="10">
      <c r="A10" s="11" t="inlineStr">
        <is>
          <t>Kết quả đánh giá</t>
        </is>
      </c>
      <c r="B10" s="12" t="inlineStr">
        <is>
          <t>Số tiêu chí</t>
        </is>
      </c>
      <c r="C10" s="11" t="inlineStr">
        <is>
          <t>Tỷ lệ</t>
        </is>
      </c>
    </row>
    <row r="11">
      <c r="A11" s="10" t="inlineStr">
        <is>
          <t>Đạt</t>
        </is>
      </c>
      <c r="B11" s="9">
        <f>COUNTIF('IEEE 829 Test Plan Checklist'!$F$2:$F$19,A11)</f>
        <v/>
      </c>
      <c r="C11" s="13">
        <f>IF($B$15=0,0,B11/$B$15)</f>
        <v/>
      </c>
    </row>
    <row r="12">
      <c r="A12" s="10" t="inlineStr">
        <is>
          <t>Đạt một phần</t>
        </is>
      </c>
      <c r="B12" s="9">
        <f>COUNTIF('IEEE 829 Test Plan Checklist'!$F$2:$F$19,A12)</f>
        <v/>
      </c>
      <c r="C12" s="13">
        <f>IF($B$15=0,0,B12/$B$15)</f>
        <v/>
      </c>
    </row>
    <row r="13">
      <c r="A13" s="10" t="inlineStr">
        <is>
          <t>Chưa đạt</t>
        </is>
      </c>
      <c r="B13" s="9">
        <f>COUNTIF('IEEE 829 Test Plan Checklist'!$F$2:$F$19,A13)</f>
        <v/>
      </c>
      <c r="C13" s="13">
        <f>IF($B$15=0,0,B13/$B$15)</f>
        <v/>
      </c>
    </row>
    <row r="14">
      <c r="A14" s="10" t="inlineStr">
        <is>
          <t>Không áp dụng</t>
        </is>
      </c>
      <c r="B14" s="9">
        <f>COUNTIF('IEEE 829 Test Plan Checklist'!$F$2:$F$19,A14)</f>
        <v/>
      </c>
      <c r="C14" s="13">
        <f>IF($B$15=0,0,B14/$B$15)</f>
        <v/>
      </c>
    </row>
    <row r="15">
      <c r="A15" s="10" t="inlineStr">
        <is>
          <t>Tổng</t>
        </is>
      </c>
      <c r="B15" s="9">
        <f>SUM(B11:B14)</f>
        <v/>
      </c>
      <c r="C15" s="13">
        <f>SUM(C11:C14)</f>
        <v/>
      </c>
    </row>
    <row r="16">
      <c r="A16" s="10" t="inlineStr"/>
      <c r="B16" s="9" t="inlineStr"/>
      <c r="C16" t="inlineStr"/>
    </row>
    <row r="17">
      <c r="A17" s="11" t="inlineStr">
        <is>
          <t>Status (theo template)</t>
        </is>
      </c>
      <c r="B17" s="12" t="inlineStr">
        <is>
          <t>Số tiêu chí</t>
        </is>
      </c>
      <c r="C17" s="11" t="inlineStr"/>
    </row>
    <row r="18">
      <c r="A18" s="10" t="inlineStr">
        <is>
          <t>Done</t>
        </is>
      </c>
      <c r="B18" s="9">
        <f>COUNTIF('IEEE 829 Test Plan Checklist'!$D$2:$D$19,A18)</f>
        <v/>
      </c>
      <c r="C18" t="inlineStr"/>
    </row>
    <row r="19">
      <c r="A19" s="10" t="inlineStr">
        <is>
          <t>In Progress</t>
        </is>
      </c>
      <c r="B19" s="9">
        <f>COUNTIF('IEEE 829 Test Plan Checklist'!$D$2:$D$19,A19)</f>
        <v/>
      </c>
      <c r="C19" t="inlineStr"/>
    </row>
    <row r="20">
      <c r="A20" s="10" t="inlineStr">
        <is>
          <t>Pending</t>
        </is>
      </c>
      <c r="B20" s="9">
        <f>COUNTIF('IEEE 829 Test Plan Checklist'!$D$2:$D$19,A20)</f>
        <v/>
      </c>
      <c r="C20" t="inlineStr"/>
    </row>
    <row r="21">
      <c r="A21" s="10" t="inlineStr">
        <is>
          <t>N/A</t>
        </is>
      </c>
      <c r="B21" s="9">
        <f>COUNTIF('IEEE 829 Test Plan Checklist'!$D$2:$D$19,A21)</f>
        <v/>
      </c>
      <c r="C21" t="inlineStr"/>
    </row>
    <row r="22">
      <c r="A22" s="10" t="inlineStr"/>
      <c r="B22" s="9" t="inlineStr"/>
      <c r="C22" t="inlineStr"/>
    </row>
    <row r="23">
      <c r="A23" s="11" t="inlineStr">
        <is>
          <t>Mức độ phát hiện</t>
        </is>
      </c>
      <c r="B23" s="12" t="inlineStr">
        <is>
          <t>Tổng</t>
        </is>
      </c>
      <c r="C23" s="11" t="inlineStr">
        <is>
          <t>Còn mở</t>
        </is>
      </c>
    </row>
    <row r="24">
      <c r="A24" s="10" t="inlineStr">
        <is>
          <t>High</t>
        </is>
      </c>
      <c r="B24" s="9">
        <f>COUNTIF('Phát hiện chi tiết'!$B$2:$B$15,A24)</f>
        <v/>
      </c>
      <c r="C24">
        <f>COUNTIFS('Phát hiện chi tiết'!$B$2:$B$15,A24,'Phát hiện chi tiết'!$H$2:$H$15,"&lt;&gt;Closed")</f>
        <v/>
      </c>
    </row>
    <row r="25">
      <c r="A25" s="10" t="inlineStr">
        <is>
          <t>Medium</t>
        </is>
      </c>
      <c r="B25" s="9">
        <f>COUNTIF('Phát hiện chi tiết'!$B$2:$B$15,A25)</f>
        <v/>
      </c>
      <c r="C25">
        <f>COUNTIFS('Phát hiện chi tiết'!$B$2:$B$15,A25,'Phát hiện chi tiết'!$H$2:$H$15,"&lt;&gt;Closed")</f>
        <v/>
      </c>
    </row>
    <row r="26">
      <c r="A26" s="10" t="inlineStr">
        <is>
          <t>Low</t>
        </is>
      </c>
      <c r="B26" s="9">
        <f>COUNTIF('Phát hiện chi tiết'!$B$2:$B$15,A26)</f>
        <v/>
      </c>
      <c r="C26">
        <f>COUNTIFS('Phát hiện chi tiết'!$B$2:$B$15,A26,'Phát hiện chi tiết'!$H$2:$H$15,"&lt;&gt;Closed")</f>
        <v/>
      </c>
    </row>
    <row r="27">
      <c r="A27" s="10" t="inlineStr">
        <is>
          <t>Kết luận</t>
        </is>
      </c>
      <c r="B27" s="9">
        <f>IF(AND(B13=0,C24=0),"Sẵn sàng trình phê duyệt (còn phát hiện Low đang chờ PO)","Chưa sẵn sàng – còn tiêu chí Chưa đạt hoặc phát hiện High")</f>
        <v/>
      </c>
      <c r="C27" t="inlineStr"/>
    </row>
    <row r="28">
      <c r="A28" s="10" t="inlineStr">
        <is>
          <t>Nhận xét</t>
        </is>
      </c>
      <c r="B28" s="9" t="inlineStr">
        <is>
          <t>Test Plan v0.2 đủ 16 mục IEEE 829 và đáp ứng 16/18 tiêu chí checklist. Lỗi duy nhất mức High (TP-DEF-007: 7 AC/trường hợp biên chưa có test case) đã đóng ở mức thiết kế test case; việc thực thi nằm ở chu kỳ C2. Hai tiêu chí Đạt một phần (Schedule, Approvals) phụ thuộc PO chốt OQ-015 (ngày go-live) và OQ-007 (người phê duyệt). Ngoài phạm vi checklist: PO cần quyết định DEF-T-002 (PRD và thiết kế lệch nhau về PDF hỏng/có mật khẩu) trước khi phê duyệt MTP. Review do chính tác giả thực hiện nên cần một lượt review độc lập.</t>
        </is>
      </c>
      <c r="C28" t="inlineStr"/>
    </row>
    <row r="29">
      <c r="A29" s="10" t="inlineStr"/>
      <c r="B29" s="9" t="inlineStr"/>
      <c r="C29" t="inlineStr"/>
    </row>
    <row r="30">
      <c r="A30" s="10" t="inlineStr">
        <is>
          <t>Quy ước</t>
        </is>
      </c>
      <c r="B30" s="9" t="inlineStr"/>
      <c r="C30" t="inlineStr"/>
    </row>
    <row r="31">
      <c r="A31" s="10" t="inlineStr">
        <is>
          <t>Đạt → Done</t>
        </is>
      </c>
      <c r="B31" s="9" t="inlineStr">
        <is>
          <t>Tiêu chí được đáp ứng, không cần hành động bắt buộc.</t>
        </is>
      </c>
      <c r="C31" t="inlineStr"/>
    </row>
    <row r="32">
      <c r="A32" s="10" t="inlineStr">
        <is>
          <t>Đạt một phần → In Progress</t>
        </is>
      </c>
      <c r="B32" s="9" t="inlineStr">
        <is>
          <t>Đã có nội dung nhưng còn thiếu hoặc phụ thuộc quyết định bên ngoài; xem cột Notes / Action Items.</t>
        </is>
      </c>
      <c r="C32" t="inlineStr"/>
    </row>
    <row r="33">
      <c r="A33" s="10" t="inlineStr">
        <is>
          <t>Chưa đạt → Pending</t>
        </is>
      </c>
      <c r="B33" s="9" t="inlineStr">
        <is>
          <t>Nội dung chưa có hoặc chưa dùng được.</t>
        </is>
      </c>
      <c r="C33" t="inlineStr"/>
    </row>
    <row r="34">
      <c r="A34" s="10" t="inlineStr">
        <is>
          <t>Không áp dụng → N/A</t>
        </is>
      </c>
      <c r="B34" s="9" t="inlineStr">
        <is>
          <t>Tiêu chí không liên quan.</t>
        </is>
      </c>
      <c r="C34" t="inlineStr"/>
    </row>
    <row r="35">
      <c r="A35" s="10" t="inlineStr">
        <is>
          <t>Cột cần cập nhật khi xử lý</t>
        </is>
      </c>
      <c r="B35" s="9" t="inlineStr">
        <is>
          <t>Sheet checklist: cột D, E, F. Sheet 'Phát hiện chi tiết': cột H (Open / In Progress / Closed).</t>
        </is>
      </c>
      <c r="C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2" ySplit="1" topLeftCell="C2" activePane="bottomRight" state="frozen"/>
      <selection pane="topRight"/>
      <selection pane="bottomLeft"/>
      <selection pane="bottomRight" activeCell="A1" activeCellId="0" sqref="A1"/>
      <selection pane="bottomLeft" activeCell="B19" activeCellId="0" sqref="B19"/>
    </sheetView>
  </sheetViews>
  <sheetFormatPr baseColWidth="8" defaultColWidth="8.6796875" defaultRowHeight="15" customHeight="0" zeroHeight="0" outlineLevelRow="0"/>
  <cols>
    <col width="30" customWidth="1" style="14" min="1" max="1"/>
    <col width="25" customWidth="1" style="14" min="2" max="2"/>
    <col width="65" customWidth="1" style="14" min="3" max="3"/>
    <col width="15" customWidth="1" style="14" min="4" max="4"/>
    <col width="80" customWidth="1" style="14" min="5" max="5"/>
    <col width="18" customWidth="1" style="14" min="6" max="16384"/>
    <col width="26" customWidth="1" style="7" min="7" max="7"/>
  </cols>
  <sheetData>
    <row r="1" ht="15" customHeight="1" s="7">
      <c r="A1" s="15" t="inlineStr">
        <is>
          <t>Category</t>
        </is>
      </c>
      <c r="B1" s="15" t="inlineStr">
        <is>
          <t>Checklist Item</t>
        </is>
      </c>
      <c r="C1" s="15" t="inlineStr">
        <is>
          <t>Description / Question</t>
        </is>
      </c>
      <c r="D1" s="15" t="inlineStr">
        <is>
          <t>Status</t>
        </is>
      </c>
      <c r="E1" s="15" t="inlineStr">
        <is>
          <t>Notes / Action Items</t>
        </is>
      </c>
      <c r="F1" s="15" t="inlineStr">
        <is>
          <t>Kết quả đánh giá</t>
        </is>
      </c>
      <c r="G1" s="15" t="inlineStr">
        <is>
          <t>Tham chiếu trong TEST_PLAN</t>
        </is>
      </c>
    </row>
    <row r="2" ht="28.35" customHeight="1" s="7">
      <c r="A2" s="16" t="inlineStr">
        <is>
          <t>1. Document Metadata</t>
        </is>
      </c>
      <c r="B2" s="16" t="inlineStr">
        <is>
          <t>Test Plan Identifier</t>
        </is>
      </c>
      <c r="C2" s="16" t="inlineStr">
        <is>
          <t>Does the document have a unique, version-controlled identifier (e.g., 'TP-AgentOrchestrator-v1.2')?</t>
        </is>
      </c>
      <c r="D2" s="16" t="inlineStr">
        <is>
          <t>Done</t>
        </is>
      </c>
      <c r="E2" s="16" t="inlineStr">
        <is>
          <t>Có mã TP-AICHAT-001-v0.1/v0.2, bảng lịch sử phiên bản, trạng thái, phân loại. [v0.2] Phụ lục được đánh số lại (PA.x, PB.x) để không trùng mục A.x của Phần A (TP-DEF-014).</t>
        </is>
      </c>
      <c r="F2" s="17" t="inlineStr">
        <is>
          <t>Đạt</t>
        </is>
      </c>
      <c r="G2" s="17" t="inlineStr">
        <is>
          <t>Đầu tài liệu; 1.0; Phụ lục</t>
        </is>
      </c>
    </row>
    <row r="3" ht="28.35" customHeight="1" s="7">
      <c r="A3" s="17" t="n"/>
      <c r="B3" s="18" t="inlineStr">
        <is>
          <t>Introduction</t>
        </is>
      </c>
      <c r="C3" s="18" t="inlineStr">
        <is>
          <t>Is there a summary of the software being tested and the purpose of this specific test plan?</t>
        </is>
      </c>
      <c r="D3" s="18" t="inlineStr">
        <is>
          <t>Done</t>
        </is>
      </c>
      <c r="E3" s="18" t="inlineStr">
        <is>
          <t>[v0.1] Chỉ có mục đích của MTP, thiếu tóm tắt phần mềm được kiểm thử (TP-DEF-001). [v0.2] Thêm 'Tổng quan phần mềm được kiểm thử': chức năng, kiến trúc (SPA, API + worker, PostgreSQL/pgvector + RLS, OIDC, LLM), cách tạo câu trả lời RAG.</t>
        </is>
      </c>
      <c r="F3" s="17" t="inlineStr">
        <is>
          <t>Đạt</t>
        </is>
      </c>
      <c r="G3" s="17" t="inlineStr">
        <is>
          <t>2.0</t>
        </is>
      </c>
    </row>
    <row r="4" ht="28.35" customHeight="1" s="7">
      <c r="A4" s="18" t="inlineStr">
        <is>
          <t>2. Scope &amp; Features</t>
        </is>
      </c>
      <c r="B4" s="16" t="inlineStr">
        <is>
          <t>Test Items</t>
        </is>
      </c>
      <c r="C4" s="16" t="inlineStr">
        <is>
          <t>Are the specific modules or binaries to be tested explicitly listed (e.g., 'LLM Routing Service', 'ROS-2 Navigation Node')?</t>
        </is>
      </c>
      <c r="D4" s="16" t="inlineStr">
        <is>
          <t>Done</t>
        </is>
      </c>
      <c r="E4" s="16" t="inlineStr">
        <is>
          <t>8 đối tượng SI-001…SI-008 theo module/thư mục và tài sản TA-001…TA-009. [v0.1] Phiên bản '0.1.0' không truy được tới bản build cụ thể (TP-DEF-002). [v0.2] Thêm quy tắc định danh build theo commit/tag; C1 = commit 166929f + 3 thay đổi chưa commit (action TT-16: commit trước C2).</t>
        </is>
      </c>
      <c r="F4" s="17" t="inlineStr">
        <is>
          <t>Đạt</t>
        </is>
      </c>
      <c r="G4" s="17" t="inlineStr">
        <is>
          <t>3.1, 3.2</t>
        </is>
      </c>
    </row>
    <row r="5" ht="28.35" customHeight="1" s="7">
      <c r="A5" s="17" t="n"/>
      <c r="B5" s="18" t="inlineStr">
        <is>
          <t>Features to be Tested</t>
        </is>
      </c>
      <c r="C5" s="18" t="inlineStr">
        <is>
          <t>Are the specific functionalities targeted for this test cycle clearly defined (e.g., 'Vector DB similarity search latency', 'Agent state transitions')?</t>
        </is>
      </c>
      <c r="D5" s="18" t="inlineStr">
        <is>
          <t>Done</t>
        </is>
      </c>
      <c r="E5" s="18" t="inlineStr">
        <is>
          <t>12 tính năng F-01…F-12 có mô tả, điểm cần kiểm, ma trận loại kiểm thử, truy vết tới story/AC. [v0.1] Điểm rủi ro thang 100 không truy được về A.7; TR-02 điểm 10 lại xếp Critical (TP-DEF-003). Còn 7 AC/trường hợp biên chưa có test case (TP-DEF-007). [v0.2] Quy tắc chấm rủi ro + quy tắc ưu tiên rõ ràng; thêm E2E-012…014, INT-017, INT-018, UI-011, API-031 → mọi AC P0/P1 trong phạm vi và E-01…E-19 đều có test case.</t>
        </is>
      </c>
      <c r="F5" s="17" t="inlineStr">
        <is>
          <t>Đạt</t>
        </is>
      </c>
      <c r="G5" s="17" t="inlineStr">
        <is>
          <t>4.1–4.3; A.7; Phụ lục A</t>
        </is>
      </c>
    </row>
    <row r="6" ht="28.35" customHeight="1" s="7">
      <c r="A6" s="17" t="n"/>
      <c r="B6" s="16" t="inlineStr">
        <is>
          <t>Features Not to be Tested</t>
        </is>
      </c>
      <c r="C6" s="16" t="inlineStr">
        <is>
          <t>Are intentionally excluded features explicitly documented to define boundaries (e.g., 'Third-party LLM API uptime is out of scope')?</t>
        </is>
      </c>
      <c r="D6" s="16" t="inlineStr">
        <is>
          <t>Done</t>
        </is>
      </c>
      <c r="E6" s="16" t="inlineStr">
        <is>
          <t>6 tính năng loại trừ F-13…F-18, mỗi mục có lý do, mức rủi ro và kế hoạch tương lai (US-019, US-015, OCR, nhà cung cấp AI/IdP, di động, dashboard giám sát). Phạm vi ngoài lề ở 2.2.</t>
        </is>
      </c>
      <c r="F6" s="17" t="inlineStr">
        <is>
          <t>Đạt</t>
        </is>
      </c>
      <c r="G6" s="17" t="inlineStr">
        <is>
          <t>2.2; 5.0</t>
        </is>
      </c>
    </row>
    <row r="7" ht="28.35" customHeight="1" s="7">
      <c r="A7" s="16" t="inlineStr">
        <is>
          <t>3. Approach &amp; Methodology</t>
        </is>
      </c>
      <c r="B7" s="18" t="inlineStr">
        <is>
          <t>Testing Approach</t>
        </is>
      </c>
      <c r="C7" s="18" t="inlineStr">
        <is>
          <t>Are the overall strategies defined (e.g., Unit, Integration, E2E, Load Testing, or Chaos Engineering)?</t>
        </is>
      </c>
      <c r="D7" s="18" t="inlineStr">
        <is>
          <t>Done</t>
        </is>
      </c>
      <c r="E7" s="18" t="inlineStr">
        <is>
          <t>11 mức/loại: unit, integration, system (E2E), acceptance, regression, performance, security, accessibility, UI/UX, API, và kiểm thử chất lượng câu trả lời (đặc thù RAG). Mỗi loại có công cụ, điều kiện vào/ra, test case. Có test phục hồi (circuit breaker, sweep, retry).</t>
        </is>
      </c>
      <c r="F7" s="17" t="inlineStr">
        <is>
          <t>Đạt</t>
        </is>
      </c>
      <c r="G7" s="17" t="inlineStr">
        <is>
          <t>6.1.1–6.1.11; 6.2</t>
        </is>
      </c>
    </row>
    <row r="8" ht="28.35" customHeight="1" s="7">
      <c r="A8" s="17" t="n"/>
      <c r="B8" s="16" t="inlineStr">
        <is>
          <t>Automation vs Manual</t>
        </is>
      </c>
      <c r="C8" s="16" t="inlineStr">
        <is>
          <t>Is the split between automated CI/CD pipeline tests and manual exploratory testing clearly specified?</t>
        </is>
      </c>
      <c r="D8" s="16" t="inlineStr">
        <is>
          <t>Done</t>
        </is>
      </c>
      <c r="E8" s="16" t="inlineStr">
        <is>
          <t>[v0.1] Chỉ có cột 'Test tự động' rải rác, không có chính sách phân chia, không có kiểm thử khám phá (TP-DEF-004). [v0.2] Mục 6.3: nguyên tắc + bảng 130 test case: 99 tự động trong CI, 14 tự động ngoài CI, 17 thủ công; 3 phiên kiểm thử khám phá EX-01…EX-03.</t>
        </is>
      </c>
      <c r="F8" s="17" t="inlineStr">
        <is>
          <t>Đạt</t>
        </is>
      </c>
      <c r="G8" s="17" t="inlineStr">
        <is>
          <t>6.3</t>
        </is>
      </c>
    </row>
    <row r="9" ht="28.35" customHeight="1" s="7">
      <c r="A9" s="18" t="inlineStr">
        <is>
          <t>4. Pass/Fail &amp; Lifecycle</t>
        </is>
      </c>
      <c r="B9" s="18" t="inlineStr">
        <is>
          <t>Item Pass/Fail Criteria</t>
        </is>
      </c>
      <c r="C9" s="18" t="inlineStr">
        <is>
          <t>Are the exact, measurable conditions for success defined (e.g., '99% of RAG queries return within 500ms', 'Zero critical security vulnerabilities')?</t>
        </is>
      </c>
      <c r="D9" s="18" t="inlineStr">
        <is>
          <t>Done</t>
        </is>
      </c>
      <c r="E9" s="18" t="inlineStr">
        <is>
          <t>Tiêu chí đo được cho từng mức (100% đạt, độ phủ ≥ 80%, NFR-001 p90 ≤ 15 s, QLT ≥ 80/90/85/90%, 0 Critical/High). [v0.1] 'E2E P0' chưa xác định; chưa quy định xử lý test case bị chặn; PERF-001 thiếu điều kiện đo 100 tài liệu (TP-DEF-005, TP-DEF-013). [v0.2] Gắn ưu tiên cho E2E; thêm tiêu chí test bị chặn và giới hạn lỗi Medium; bổ sung điều kiện đo PERF-001.</t>
        </is>
      </c>
      <c r="F9" s="17" t="inlineStr">
        <is>
          <t>Đạt</t>
        </is>
      </c>
      <c r="G9" s="17" t="inlineStr">
        <is>
          <t>7.0; 6.1.3; 6.1.6</t>
        </is>
      </c>
    </row>
    <row r="10" ht="28.35" customHeight="1" s="7">
      <c r="A10" s="17" t="n"/>
      <c r="B10" s="16" t="inlineStr">
        <is>
          <t>Suspension Criteria</t>
        </is>
      </c>
      <c r="C10" s="16" t="inlineStr">
        <is>
          <t>What critical failures warrant pausing the entire test cycle (e.g., 'Test database connection drops repeatedly')?</t>
        </is>
      </c>
      <c r="D10" s="16" t="inlineStr">
        <is>
          <t>Done</t>
        </is>
      </c>
      <c r="E10" s="16" t="inlineStr">
        <is>
          <t>5 điều kiện tạm dừng cụ thể: smoke hỏng, lỗi Critical cách ly dữ liệu, môi trường không ổn định (&gt; 20% test lỗi vì môi trường, CSDL ngừng – như DEF-T-004), thay đổi yêu cầu lớn, chất lượng câu trả lời giảm &gt; 10 điểm.</t>
        </is>
      </c>
      <c r="F10" s="17" t="inlineStr">
        <is>
          <t>Đạt</t>
        </is>
      </c>
      <c r="G10" s="17" t="inlineStr">
        <is>
          <t>8.0</t>
        </is>
      </c>
    </row>
    <row r="11" ht="28.35" customHeight="1" s="7">
      <c r="A11" s="17" t="n"/>
      <c r="B11" s="18" t="inlineStr">
        <is>
          <t>Resumption Requirements</t>
        </is>
      </c>
      <c r="C11" s="18" t="inlineStr">
        <is>
          <t>What conditions must be met to restart testing after a suspension (e.g., 'Patch deployed and environment reset')?</t>
        </is>
      </c>
      <c r="D11" s="18" t="inlineStr">
        <is>
          <t>Done</t>
        </is>
      </c>
      <c r="E11" s="18" t="inlineStr">
        <is>
          <t>[v0.1] Có điều kiện tiếp tục nhưng thiếu bước khởi tạo lại môi trường (TP-DEF-011). [v0.2] Thêm quy trình khởi tạo lại cho ENV-DEV (xóa app/.data, run.py --sample), ENV-TEST, ENV-STAGING (khôi phục snapshot, triển khai lại đúng tag) và yêu cầu chạy lại toàn bộ chu kỳ.</t>
        </is>
      </c>
      <c r="F11" s="17" t="inlineStr">
        <is>
          <t>Đạt</t>
        </is>
      </c>
      <c r="G11" s="17" t="inlineStr">
        <is>
          <t>8.0</t>
        </is>
      </c>
    </row>
    <row r="12" ht="28.35" customHeight="1" s="7">
      <c r="A12" s="16" t="inlineStr">
        <is>
          <t>5. Environment &amp; Resources</t>
        </is>
      </c>
      <c r="B12" s="16" t="inlineStr">
        <is>
          <t>Environmental Needs</t>
        </is>
      </c>
      <c r="C12" s="16" t="inlineStr">
        <is>
          <t>Are hardware and software dependencies specified (e.g., 'Nvidia GPU nodes', 'Qdrant test instance', 'Mocked sensor data streams')?</t>
        </is>
      </c>
      <c r="D12" s="16" t="inlineStr">
        <is>
          <t>Done</t>
        </is>
      </c>
      <c r="E12" s="16" t="inlineStr">
        <is>
          <t>4 môi trường (DEV, TEST, CI, STAGING) kèm hiện trạng; bảng công cụ. [v0.1] Thiếu kích thước staging, phiên bản công cụ còn [TBD], chưa nêu dữ liệu giả lập (TP-DEF-009). [v0.2] Thêm tài nguyên staging theo SAD 9.2 (GPU T4/L4 nếu SPIKE-02 cần), dữ liệu tải 20 × 100 tài liệu, quy tắc ghim phiên bản công cụ, danh sách fake/mock.</t>
        </is>
      </c>
      <c r="F12" s="17" t="inlineStr">
        <is>
          <t>Đạt</t>
        </is>
      </c>
      <c r="G12" s="17" t="inlineStr">
        <is>
          <t>11.0</t>
        </is>
      </c>
    </row>
    <row r="13" ht="28.35" customHeight="1" s="7">
      <c r="A13" s="17" t="n"/>
      <c r="B13" s="18" t="inlineStr">
        <is>
          <t>Responsibilities</t>
        </is>
      </c>
      <c r="C13" s="18" t="inlineStr">
        <is>
          <t>Are roles clearly assigned (who writes the tests, who manages the test data, who reviews the results)?</t>
        </is>
      </c>
      <c r="D13" s="18" t="inlineStr">
        <is>
          <t>Done</t>
        </is>
      </c>
      <c r="E13" s="18" t="inlineStr">
        <is>
          <t>Vai trò QA Lead, QA, Dev, Tech Lead, PO, người dùng nghiệp vụ, Designer, IT/Security. [v0.1] Chưa giao người quản lý dữ liệu test và người review kết quả (TP-DEF-006). [v0.2] Bảng phân công theo việc: viết/thực hiện – quản lý – review, gồm dữ liệu tổng hợp, tài liệu thật, bộ câu hỏi chuẩn, kết quả CI.</t>
        </is>
      </c>
      <c r="F13" s="17" t="inlineStr">
        <is>
          <t>Đạt</t>
        </is>
      </c>
      <c r="G13" s="17" t="inlineStr">
        <is>
          <t>12.0</t>
        </is>
      </c>
    </row>
    <row r="14" ht="28.35" customHeight="1" s="7">
      <c r="A14" s="17" t="n"/>
      <c r="B14" s="16" t="inlineStr">
        <is>
          <t>Staffing &amp; Training Needs</t>
        </is>
      </c>
      <c r="C14" s="16" t="inlineStr">
        <is>
          <t>Do QA engineers require specific domain knowledge or training (e.g., 'Familiarity with STM32 controllers')?</t>
        </is>
      </c>
      <c r="D14" s="16" t="inlineStr">
        <is>
          <t>Done</t>
        </is>
      </c>
      <c r="E14" s="16" t="inlineStr">
        <is>
          <t>Nhu cầu kỹ năng cụ thể: Playwright/pytest, hiểu RAG (truy xuất, trích dẫn, ngưỡng), FastAPI/RLS, hướng dẫn chấm điểm 30 phút cho người dùng nghiệp vụ, OWASP ASVS cho ứng dụng có LLM.</t>
        </is>
      </c>
      <c r="F14" s="17" t="inlineStr">
        <is>
          <t>Đạt</t>
        </is>
      </c>
      <c r="G14" s="17" t="inlineStr">
        <is>
          <t>13.0</t>
        </is>
      </c>
    </row>
    <row r="15" ht="28.35" customHeight="1" s="7">
      <c r="A15" s="18" t="inlineStr">
        <is>
          <t>6. Execution &amp; Delivery</t>
        </is>
      </c>
      <c r="B15" s="18" t="inlineStr">
        <is>
          <t>Testing Tasks</t>
        </is>
      </c>
      <c r="C15" s="18" t="inlineStr">
        <is>
          <t>Are the specific steps required to execute the test plan broken down and assigned?</t>
        </is>
      </c>
      <c r="D15" s="18" t="inlineStr">
        <is>
          <t>Done</t>
        </is>
      </c>
      <c r="E15" s="18" t="inlineStr">
        <is>
          <t>TT-01…TT-15 có phụ thuộc, người thực hiện, ước lượng. [v0.1] Thiếu việc commit build, viết test cho test case mới, kiểm thử lại lỗi, kiểm thử khám phá (TP-DEF-012). [v0.2] Thêm TT-16…TT-19; M2 cập nhật 9,1 ngày công.</t>
        </is>
      </c>
      <c r="F15" s="17" t="inlineStr">
        <is>
          <t>Đạt</t>
        </is>
      </c>
      <c r="G15" s="17" t="inlineStr">
        <is>
          <t>10.0</t>
        </is>
      </c>
    </row>
    <row r="16" ht="28.35" customHeight="1" s="7">
      <c r="A16" s="17" t="n"/>
      <c r="B16" s="16" t="inlineStr">
        <is>
          <t>Test Deliverables</t>
        </is>
      </c>
      <c r="C16" s="16" t="inlineStr">
        <is>
          <t>What artifacts will be produced (e.g., Test Scripts, Bug Reports, Final Test Summary Report)?</t>
        </is>
      </c>
      <c r="D16" s="16" t="inlineStr">
        <is>
          <t>Done</t>
        </is>
      </c>
      <c r="E16" s="16" t="inlineStr">
        <is>
          <t>9 sản phẩm bàn giao: MTP, test case, script tự động, dữ liệu test, nhật ký thực thi, báo cáo lỗi, báo cáo độ phủ, Test Summary Report, biên bản nghiệm thu – kèm thời điểm và trạng thái.</t>
        </is>
      </c>
      <c r="F16" s="17" t="inlineStr">
        <is>
          <t>Đạt</t>
        </is>
      </c>
      <c r="G16" s="17" t="inlineStr">
        <is>
          <t>9.0</t>
        </is>
      </c>
    </row>
    <row r="17" ht="28.35" customHeight="1" s="7">
      <c r="A17" s="17" t="n"/>
      <c r="B17" s="18" t="inlineStr">
        <is>
          <t>Schedule</t>
        </is>
      </c>
      <c r="C17" s="18" t="inlineStr">
        <is>
          <t>Are major milestones and delivery dates mapped out in alignment with the broader project timeline?</t>
        </is>
      </c>
      <c r="D17" s="18" t="inlineStr">
        <is>
          <t>In Progress</t>
        </is>
      </c>
      <c r="E17" s="18" t="inlineStr">
        <is>
          <t>Mốc M0…M6 có ngày và điều kiện. [v0.1] Không liên hệ với lịch dự án (TP-DEF-008). [v0.2] Nêu giả định go-live sau M6, phương án khi OQ-015 chốt ngày sớm hơn, ánh xạ chu kỳ với lát PLAN. Còn mở: BRD chưa có ngày go-live (OQ-015) nên lịch vẫn là đề xuất.</t>
        </is>
      </c>
      <c r="F17" s="17" t="inlineStr">
        <is>
          <t>Đạt một phần</t>
        </is>
      </c>
      <c r="G17" s="17" t="inlineStr">
        <is>
          <t>14.0</t>
        </is>
      </c>
    </row>
    <row r="18" ht="28.35" customHeight="1" s="7">
      <c r="A18" s="16" t="inlineStr">
        <is>
          <t>7. Risk Management</t>
        </is>
      </c>
      <c r="B18" s="16" t="inlineStr">
        <is>
          <t>Risks &amp; Contingencies</t>
        </is>
      </c>
      <c r="C18" s="16" t="inlineStr">
        <is>
          <t>Are potential roadblocks documented alongside mitigation plans (e.g., 'Risk: Model API rate limits. Mitigation: Use local mocked responses')?</t>
        </is>
      </c>
      <c r="D18" s="16" t="inlineStr">
        <is>
          <t>Done</t>
        </is>
      </c>
      <c r="E18" s="16" t="inlineStr">
        <is>
          <t>10 rủi ro sản phẩm/kiểm thử TR-01…TR-10 có điểm, mức, chiến lược giảm thiểu; 6 rủi ro kế hoạch có dự phòng (thiếu bộ câu hỏi, chưa có staging, PGlite khác PostgreSQL, LLM chậm, OQ, thiếu người chấm). [v0.2] Thêm cột mức rủi ro theo quy tắc thống nhất.</t>
        </is>
      </c>
      <c r="F18" s="17" t="inlineStr">
        <is>
          <t>Đạt</t>
        </is>
      </c>
      <c r="G18" s="17" t="inlineStr">
        <is>
          <t>A.7; 15.0</t>
        </is>
      </c>
    </row>
    <row r="19" ht="28.35" customHeight="1" s="7">
      <c r="A19" s="17" t="n"/>
      <c r="B19" s="18" t="inlineStr">
        <is>
          <t>Approvals</t>
        </is>
      </c>
      <c r="C19" s="18" t="inlineStr">
        <is>
          <t>Is there a designated section for sign-off from key stakeholders to authorize the execution of the plan?</t>
        </is>
      </c>
      <c r="D19" s="18" t="inlineStr">
        <is>
          <t>In Progress</t>
        </is>
      </c>
      <c r="E19" s="18" t="inlineStr">
        <is>
          <t>Có bảng ký 4 vai trò. [v0.1] Chưa có tên người phê duyệt, chưa có điều kiện phê duyệt (TP-DEF-010). [v0.2] Thêm điều kiện phê duyệt và phạm vi hiệu lực. Còn mở: tên người phê duyệt chờ OQ-007.</t>
        </is>
      </c>
      <c r="F19" s="17" t="inlineStr">
        <is>
          <t>Đạt một phần</t>
        </is>
      </c>
      <c r="G19" s="17" t="inlineStr">
        <is>
          <t>16.0</t>
        </is>
      </c>
    </row>
  </sheetData>
  <autoFilter ref="A1:G19"/>
  <mergeCells count="7">
    <mergeCell ref="A12:A14"/>
    <mergeCell ref="A4:A6"/>
    <mergeCell ref="A7:A8"/>
    <mergeCell ref="A15:A17"/>
    <mergeCell ref="A2:A3"/>
    <mergeCell ref="A18:A19"/>
    <mergeCell ref="A9:A11"/>
  </mergeCells>
  <conditionalFormatting sqref="D2:D1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conditionalFormatting sqref="F2:F19">
    <cfRule type="cellIs" priority="5" operator="equal" dxfId="9">
      <formula>"Đạt"</formula>
    </cfRule>
    <cfRule type="cellIs" priority="6" operator="equal" dxfId="10">
      <formula>"Đạt một phần"</formula>
    </cfRule>
    <cfRule type="cellIs" priority="7" operator="equal" dxfId="11">
      <formula>"Chưa đạt"</formula>
    </cfRule>
    <cfRule type="cellIs" priority="8" operator="equal" dxfId="12">
      <formula>"Không áp dụng"</formula>
    </cfRule>
  </conditionalFormatting>
  <dataValidations count="3">
    <dataValidation sqref="D2:D1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  <dataValidation sqref="D2:D19" showDropDown="0" showInputMessage="0" showErrorMessage="0" allowBlank="0" type="list">
      <formula1>"Done,In Progress,Pending,N/A"</formula1>
    </dataValidation>
    <dataValidation sqref="F2:F19" showDropDown="0" showInputMessage="0" showErrorMessage="0" allowBlank="0" type="list">
      <formula1>"Đạt,Đạt một phần,Chưa đạt,Không áp dụng"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7" min="1" max="1"/>
    <col width="10" customWidth="1" style="7" min="2" max="2"/>
    <col width="28" customWidth="1" style="7" min="3" max="3"/>
    <col width="20" customWidth="1" style="7" min="4" max="4"/>
    <col width="60" customWidth="1" style="7" min="5" max="5"/>
    <col width="55" customWidth="1" style="7" min="6" max="6"/>
    <col width="14" customWidth="1" style="7" min="7" max="7"/>
    <col width="13" customWidth="1" style="7" min="8" max="8"/>
  </cols>
  <sheetData>
    <row r="1">
      <c r="A1" s="15" t="inlineStr">
        <is>
          <t>ID</t>
        </is>
      </c>
      <c r="B1" s="15" t="inlineStr">
        <is>
          <t>Mức độ</t>
        </is>
      </c>
      <c r="C1" s="15" t="inlineStr">
        <is>
          <t>Tiêu chí checklist</t>
        </is>
      </c>
      <c r="D1" s="15" t="inlineStr">
        <is>
          <t>Mục trong TEST_PLAN</t>
        </is>
      </c>
      <c r="E1" s="15" t="inlineStr">
        <is>
          <t>Phát hiện</t>
        </is>
      </c>
      <c r="F1" s="15" t="inlineStr">
        <is>
          <t>Khuyến nghị / Đã sửa</t>
        </is>
      </c>
      <c r="G1" s="15" t="inlineStr">
        <is>
          <t>Owner</t>
        </is>
      </c>
      <c r="H1" s="15" t="inlineStr">
        <is>
          <t>Trạng thái</t>
        </is>
      </c>
    </row>
    <row r="2">
      <c r="A2" s="17" t="inlineStr">
        <is>
          <t>TP-DEF-001</t>
        </is>
      </c>
      <c r="B2" s="17" t="inlineStr">
        <is>
          <t>Low</t>
        </is>
      </c>
      <c r="C2" s="17" t="inlineStr">
        <is>
          <t>Introduction</t>
        </is>
      </c>
      <c r="D2" s="17" t="inlineStr">
        <is>
          <t>2.0</t>
        </is>
      </c>
      <c r="E2" s="17" t="inlineStr">
        <is>
          <t>Mục giới thiệu chỉ nêu mục đích của MTP, không tóm tắt phần mềm được kiểm thử.</t>
        </is>
      </c>
      <c r="F2" s="17" t="inlineStr">
        <is>
          <t>Thêm đoạn tổng quan: chức năng, kiến trúc, cách tạo câu trả lời.</t>
        </is>
      </c>
      <c r="G2" s="17" t="inlineStr">
        <is>
          <t>QA</t>
        </is>
      </c>
      <c r="H2" s="17" t="inlineStr">
        <is>
          <t>Closed</t>
        </is>
      </c>
    </row>
    <row r="3">
      <c r="A3" s="17" t="inlineStr">
        <is>
          <t>TP-DEF-002</t>
        </is>
      </c>
      <c r="B3" s="17" t="inlineStr">
        <is>
          <t>Medium</t>
        </is>
      </c>
      <c r="C3" s="17" t="inlineStr">
        <is>
          <t>Test Items</t>
        </is>
      </c>
      <c r="D3" s="17" t="inlineStr">
        <is>
          <t>3.1</t>
        </is>
      </c>
      <c r="E3" s="17" t="inlineStr">
        <is>
          <t>Phiên bản đối tượng kiểm thử ghi '0.1.0' chung chung, không truy được tới bản build; chu kỳ C1 chạy trên commit 166929f cộng 3 thay đổi chưa commit nên kết quả không tái hiện được.</t>
        </is>
      </c>
      <c r="F3" s="17" t="inlineStr">
        <is>
          <t>Định danh build theo commit/tag cho mỗi chu kỳ; ghi rõ bản build của C1; commit các bản sửa trước C2 (TT-16).</t>
        </is>
      </c>
      <c r="G3" s="17" t="inlineStr">
        <is>
          <t>QA, Dev</t>
        </is>
      </c>
      <c r="H3" s="17" t="inlineStr">
        <is>
          <t>Closed</t>
        </is>
      </c>
    </row>
    <row r="4">
      <c r="A4" s="17" t="inlineStr">
        <is>
          <t>TP-DEF-003</t>
        </is>
      </c>
      <c r="B4" s="17" t="inlineStr">
        <is>
          <t>Medium</t>
        </is>
      </c>
      <c r="C4" s="17" t="inlineStr">
        <is>
          <t>Features to be Tested / Risks &amp; Contingencies</t>
        </is>
      </c>
      <c r="D4" s="17" t="inlineStr">
        <is>
          <t>A.7; 4.1</t>
        </is>
      </c>
      <c r="E4" s="17" t="inlineStr">
        <is>
          <t>Cách chấm rủi ro không nhất quán: TR-02 được 10/25 điểm nhưng ghi 'ưu tiên Critical'; điểm /100 ở ma trận ưu tiên không suy ra được từ A.7.</t>
        </is>
      </c>
      <c r="F4" s="17" t="inlineStr">
        <is>
          <t>Định nghĩa mức rủi ro (Critical khi tác động 5 về lộ/mất dữ liệu); quy tắc ưu tiên kết hợp ưu tiên story và rủi ro; ma trận 4.1 ghi rủi ro liên quan thay cho điểm tự đặt.</t>
        </is>
      </c>
      <c r="G4" s="17" t="inlineStr">
        <is>
          <t>QA</t>
        </is>
      </c>
      <c r="H4" s="17" t="inlineStr">
        <is>
          <t>Closed</t>
        </is>
      </c>
    </row>
    <row r="5">
      <c r="A5" s="17" t="inlineStr">
        <is>
          <t>TP-DEF-004</t>
        </is>
      </c>
      <c r="B5" s="17" t="inlineStr">
        <is>
          <t>Medium</t>
        </is>
      </c>
      <c r="C5" s="17" t="inlineStr">
        <is>
          <t>Automation vs Manual</t>
        </is>
      </c>
      <c r="D5" s="17" t="inlineStr">
        <is>
          <t>6.3</t>
        </is>
      </c>
      <c r="E5" s="17" t="inlineStr">
        <is>
          <t>Không có chính sách và số liệu phân chia tự động trong CI / tự động ngoài CI / thủ công; không có kiểm thử khám phá.</t>
        </is>
      </c>
      <c r="F5" s="17" t="inlineStr">
        <is>
          <t>Thêm mục 6.3: nguyên tắc, bảng 130 test case theo loại, 3 phiên kiểm thử khám phá có mục tiêu.</t>
        </is>
      </c>
      <c r="G5" s="17" t="inlineStr">
        <is>
          <t>QA</t>
        </is>
      </c>
      <c r="H5" s="17" t="inlineStr">
        <is>
          <t>Closed</t>
        </is>
      </c>
    </row>
    <row r="6">
      <c r="A6" s="17" t="inlineStr">
        <is>
          <t>TP-DEF-005</t>
        </is>
      </c>
      <c r="B6" s="17" t="inlineStr">
        <is>
          <t>Medium</t>
        </is>
      </c>
      <c r="C6" s="17" t="inlineStr">
        <is>
          <t>Item Pass/Fail Criteria</t>
        </is>
      </c>
      <c r="D6" s="17" t="inlineStr">
        <is>
          <t>7.0; 6.1.3</t>
        </is>
      </c>
      <c r="E6" s="17" t="inlineStr">
        <is>
          <t>Tiêu chí '100% E2E P0 đạt' nhưng E2E không có cột ưu tiên; chưa quy định cách xử lý test case bị chặn ở launch gate và số lỗi Medium được phép mở.</t>
        </is>
      </c>
      <c r="F6" s="17" t="inlineStr">
        <is>
          <t>Gắn ưu tiên cho E2E; thêm tiêu chí test bị chặn và giới hạn lỗi Medium.</t>
        </is>
      </c>
      <c r="G6" s="17" t="inlineStr">
        <is>
          <t>QA</t>
        </is>
      </c>
      <c r="H6" s="17" t="inlineStr">
        <is>
          <t>Closed</t>
        </is>
      </c>
    </row>
    <row r="7">
      <c r="A7" s="17" t="inlineStr">
        <is>
          <t>TP-DEF-006</t>
        </is>
      </c>
      <c r="B7" s="17" t="inlineStr">
        <is>
          <t>Low</t>
        </is>
      </c>
      <c r="C7" s="17" t="inlineStr">
        <is>
          <t>Responsibilities</t>
        </is>
      </c>
      <c r="D7" s="17" t="inlineStr">
        <is>
          <t>12.0</t>
        </is>
      </c>
      <c r="E7" s="17" t="inlineStr">
        <is>
          <t>Chưa giao người quản lý dữ liệu test (PDF mẫu, tài liệu thật, bộ câu hỏi) và người review kết quả.</t>
        </is>
      </c>
      <c r="F7" s="17" t="inlineStr">
        <is>
          <t>Bảng phân công theo việc: viết/thực hiện – quản lý – review.</t>
        </is>
      </c>
      <c r="G7" s="17" t="inlineStr">
        <is>
          <t>QA Lead</t>
        </is>
      </c>
      <c r="H7" s="17" t="inlineStr">
        <is>
          <t>Closed</t>
        </is>
      </c>
    </row>
    <row r="8">
      <c r="A8" s="17" t="inlineStr">
        <is>
          <t>TP-DEF-007</t>
        </is>
      </c>
      <c r="B8" s="17" t="inlineStr">
        <is>
          <t>High</t>
        </is>
      </c>
      <c r="C8" s="17" t="inlineStr">
        <is>
          <t>Features to be Tested (truy vết)</t>
        </is>
      </c>
      <c r="D8" s="17" t="inlineStr">
        <is>
          <t>Phụ lục A; 6.1</t>
        </is>
      </c>
      <c r="E8" s="17" t="inlineStr">
        <is>
          <t>Vi phạm nguyên tắc 100% requirement coverage của template: E-11, E-12, US-013 AC 1, US-014 (5 câu), US-021 AC 2, US-022 AC 2 và G-07 (đủ 11 sự kiện) chưa có test case.</t>
        </is>
      </c>
      <c r="F8" s="17" t="inlineStr">
        <is>
          <t>Thêm E2E-012, E2E-013, E2E-014, INT-017, INT-018, UI-011, API-031 và cập nhật ma trận truy vết; thực thi ở C2 (TT-17).</t>
        </is>
      </c>
      <c r="G8" s="17" t="inlineStr">
        <is>
          <t>QA</t>
        </is>
      </c>
      <c r="H8" s="17" t="inlineStr">
        <is>
          <t>Closed</t>
        </is>
      </c>
    </row>
    <row r="9">
      <c r="A9" s="17" t="inlineStr">
        <is>
          <t>TP-DEF-008</t>
        </is>
      </c>
      <c r="B9" s="17" t="inlineStr">
        <is>
          <t>Low</t>
        </is>
      </c>
      <c r="C9" s="17" t="inlineStr">
        <is>
          <t>Schedule</t>
        </is>
      </c>
      <c r="D9" s="17" t="inlineStr">
        <is>
          <t>14.0</t>
        </is>
      </c>
      <c r="E9" s="17" t="inlineStr">
        <is>
          <t>Lịch kiểm thử không liên hệ với lịch dự án; BRD chưa có ngày go-live (OQ-015).</t>
        </is>
      </c>
      <c r="F9" s="17" t="inlineStr">
        <is>
          <t>Đã nêu giả định, phương án khi OQ-015 chốt, ánh xạ với PLAN. Cần PO chốt OQ-015 rồi cập nhật ngày.</t>
        </is>
      </c>
      <c r="G9" s="17" t="inlineStr">
        <is>
          <t>PO</t>
        </is>
      </c>
      <c r="H9" s="17" t="inlineStr">
        <is>
          <t>In Progress</t>
        </is>
      </c>
    </row>
    <row r="10">
      <c r="A10" s="17" t="inlineStr">
        <is>
          <t>TP-DEF-009</t>
        </is>
      </c>
      <c r="B10" s="17" t="inlineStr">
        <is>
          <t>Low</t>
        </is>
      </c>
      <c r="C10" s="17" t="inlineStr">
        <is>
          <t>Environmental Needs</t>
        </is>
      </c>
      <c r="D10" s="17" t="inlineStr">
        <is>
          <t>11.0</t>
        </is>
      </c>
      <c r="E10" s="17" t="inlineStr">
        <is>
          <t>Không nêu tài nguyên staging để kết quả hiệu năng có giá trị; phiên bản công cụ [TBD]; không liệt kê dữ liệu giả lập.</t>
        </is>
      </c>
      <c r="F10" s="17" t="inlineStr">
        <is>
          <t>Thêm cấu hình staging theo SAD 9.2, dữ liệu tải, quy tắc ghim phiên bản, danh sách fake/mock.</t>
        </is>
      </c>
      <c r="G10" s="17" t="inlineStr">
        <is>
          <t>QA, Tech Lead</t>
        </is>
      </c>
      <c r="H10" s="17" t="inlineStr">
        <is>
          <t>Closed</t>
        </is>
      </c>
    </row>
    <row r="11">
      <c r="A11" s="17" t="inlineStr">
        <is>
          <t>TP-DEF-010</t>
        </is>
      </c>
      <c r="B11" s="17" t="inlineStr">
        <is>
          <t>Low</t>
        </is>
      </c>
      <c r="C11" s="17" t="inlineStr">
        <is>
          <t>Approvals</t>
        </is>
      </c>
      <c r="D11" s="17" t="inlineStr">
        <is>
          <t>16.0</t>
        </is>
      </c>
      <c r="E11" s="17" t="inlineStr">
        <is>
          <t>Chưa có tên người phê duyệt và điều kiện để MTP được phê duyệt.</t>
        </is>
      </c>
      <c r="F11" s="17" t="inlineStr">
        <is>
          <t>Đã thêm điều kiện phê duyệt. Cần PO chỉ định người phê duyệt (OQ-007).</t>
        </is>
      </c>
      <c r="G11" s="17" t="inlineStr">
        <is>
          <t>PO</t>
        </is>
      </c>
      <c r="H11" s="17" t="inlineStr">
        <is>
          <t>In Progress</t>
        </is>
      </c>
    </row>
    <row r="12">
      <c r="A12" s="17" t="inlineStr">
        <is>
          <t>TP-DEF-011</t>
        </is>
      </c>
      <c r="B12" s="17" t="inlineStr">
        <is>
          <t>Low</t>
        </is>
      </c>
      <c r="C12" s="17" t="inlineStr">
        <is>
          <t>Resumption Requirements</t>
        </is>
      </c>
      <c r="D12" s="17" t="inlineStr">
        <is>
          <t>8.0</t>
        </is>
      </c>
      <c r="E12" s="17" t="inlineStr">
        <is>
          <t>Điều kiện tiếp tục không nêu cách khởi tạo lại môi trường sau sự cố (vd. CSDL dev hỏng – DEF-T-004).</t>
        </is>
      </c>
      <c r="F12" s="17" t="inlineStr">
        <is>
          <t>Thêm quy trình khởi tạo lại ENV-DEV/TEST/STAGING và yêu cầu chạy lại toàn bộ chu kỳ.</t>
        </is>
      </c>
      <c r="G12" s="17" t="inlineStr">
        <is>
          <t>QA</t>
        </is>
      </c>
      <c r="H12" s="17" t="inlineStr">
        <is>
          <t>Closed</t>
        </is>
      </c>
    </row>
    <row r="13">
      <c r="A13" s="17" t="inlineStr">
        <is>
          <t>TP-DEF-012</t>
        </is>
      </c>
      <c r="B13" s="17" t="inlineStr">
        <is>
          <t>Low</t>
        </is>
      </c>
      <c r="C13" s="17" t="inlineStr">
        <is>
          <t>Testing Tasks</t>
        </is>
      </c>
      <c r="D13" s="17" t="inlineStr">
        <is>
          <t>10.0; 14.0</t>
        </is>
      </c>
      <c r="E13" s="17" t="inlineStr">
        <is>
          <t>Thiếu công việc commit build, tự động hóa test case mới, kiểm thử lại lỗi, kiểm thử khám phá.</t>
        </is>
      </c>
      <c r="F13" s="17" t="inlineStr">
        <is>
          <t>Thêm TT-16…TT-19; cập nhật mốc M2 (9,1 ngày công).</t>
        </is>
      </c>
      <c r="G13" s="17" t="inlineStr">
        <is>
          <t>QA</t>
        </is>
      </c>
      <c r="H13" s="17" t="inlineStr">
        <is>
          <t>Closed</t>
        </is>
      </c>
    </row>
    <row r="14">
      <c r="A14" s="17" t="inlineStr">
        <is>
          <t>TP-DEF-013</t>
        </is>
      </c>
      <c r="B14" s="17" t="inlineStr">
        <is>
          <t>Low</t>
        </is>
      </c>
      <c r="C14" s="17" t="inlineStr">
        <is>
          <t>Item Pass/Fail Criteria (hiệu năng)</t>
        </is>
      </c>
      <c r="D14" s="17" t="inlineStr">
        <is>
          <t>6.1.6</t>
        </is>
      </c>
      <c r="E14" s="17" t="inlineStr">
        <is>
          <t>PERF-001 không nêu điều kiện đo của NFR-001 (100 tài liệu Sẵn sàng/người dùng, mốc bắt đầu–kết thúc).</t>
        </is>
      </c>
      <c r="F14" s="17" t="inlineStr">
        <is>
          <t>Bổ sung điều kiện đo vào PERF-001.</t>
        </is>
      </c>
      <c r="G14" s="17" t="inlineStr">
        <is>
          <t>QA</t>
        </is>
      </c>
      <c r="H14" s="17" t="inlineStr">
        <is>
          <t>Closed</t>
        </is>
      </c>
    </row>
    <row r="15">
      <c r="A15" s="17" t="inlineStr">
        <is>
          <t>TP-DEF-014</t>
        </is>
      </c>
      <c r="B15" s="17" t="inlineStr">
        <is>
          <t>Low</t>
        </is>
      </c>
      <c r="C15" s="17" t="inlineStr">
        <is>
          <t>Test Plan Identifier (cấu trúc tài liệu)</t>
        </is>
      </c>
      <c r="D15" s="17" t="inlineStr">
        <is>
          <t>Phụ lục A, B</t>
        </is>
      </c>
      <c r="E15" s="17" t="inlineStr">
        <is>
          <t>Mục con Phụ lục A (A.1–A.3) trùng số với Phần A (A.1–A.7), gây nhầm khi tham chiếu.</t>
        </is>
      </c>
      <c r="F15" s="17" t="inlineStr">
        <is>
          <t>Đánh số lại phụ lục thành PA.x, PB.x.</t>
        </is>
      </c>
      <c r="G15" s="17" t="inlineStr">
        <is>
          <t>QA</t>
        </is>
      </c>
      <c r="H15" s="17" t="inlineStr">
        <is>
          <t>Closed</t>
        </is>
      </c>
    </row>
  </sheetData>
  <conditionalFormatting sqref="H2:H15">
    <cfRule type="cellIs" priority="1" operator="equal" dxfId="9">
      <formula>"Closed"</formula>
    </cfRule>
    <cfRule type="cellIs" priority="2" operator="equal" dxfId="10">
      <formula>"In Progress"</formula>
    </cfRule>
    <cfRule type="cellIs" priority="3" operator="equal" dxfId="11">
      <formula>"Open"</formula>
    </cfRule>
  </conditionalFormatting>
  <dataValidations count="1">
    <dataValidation sqref="H2:H15" showDropDown="0" showInputMessage="0" showErrorMessage="0" allowBlank="0" type="list">
      <formula1>"Open,In Progress,Closed"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2026-07-15T06:11:57Z</dcterms:created>
  <dcterms:modified xsi:type="dcterms:W3CDTF">2026-10-26T15:18:13Z</dcterms:modified>
  <cp:revision>1</cp:revision>
</cp:coreProperties>
</file>